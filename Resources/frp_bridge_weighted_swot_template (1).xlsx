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38fba1912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9d9ddd1d9c4d2e"/>
    <x:sheet xmlns:r="http://schemas.openxmlformats.org/officeDocument/2006/relationships" name="CRITERIA" sheetId="2" r:id="R834bc379392d4a91"/>
    <x:sheet xmlns:r="http://schemas.openxmlformats.org/officeDocument/2006/relationships" name="OPTION_1_CONTINUOUS" sheetId="3" r:id="R843965adbccd49d6"/>
    <x:sheet xmlns:r="http://schemas.openxmlformats.org/officeDocument/2006/relationships" name="OPTION_2_SPLIT_2" sheetId="4" r:id="R247d87eeed6d4887"/>
    <x:sheet xmlns:r="http://schemas.openxmlformats.org/officeDocument/2006/relationships" name="OPTION_3_SPLIT_3" sheetId="5" r:id="R4c2efc9c017a46cd"/>
    <x:sheet xmlns:r="http://schemas.openxmlformats.org/officeDocument/2006/relationships" name="OPTION_4_HYBRID" sheetId="6" r:id="R76952b0cfb2140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0.00"/>
  </x:numFmts>
  <x:fonts count="6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  <x:font>
      <x:i/>
      <x:sz val="11"/>
      <x:color rgb="374151"/>
      <x:name val="Carlito"/>
    </x:font>
    <x:font>
      <x:b/>
      <x:sz val="11"/>
      <x:color rgb="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4C5C"/>
      </x:patternFill>
    </x:fill>
    <x:fill>
      <x:patternFill patternType="solid">
        <x:fgColor rgb="E6F4F1"/>
      </x:patternFill>
    </x:fill>
    <x:fill>
      <x:patternFill patternType="solid">
        <x:fgColor rgb="2C7A7B"/>
      </x:patternFill>
    </x:fill>
    <x:fill>
      <x:patternFill patternType="solid">
        <x:fgColor rgb="F8FAFC"/>
      </x:patternFill>
    </x:fill>
    <x:fill>
      <x:patternFill patternType="solid">
        <x:fgColor rgb="FFFBEB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/>
  </x:cellXfs>
  <x:cellStyles count="1">
    <x:cellStyle name="Normal" xfId="0"/>
  </x:cellStyles>
  <x:dxfs count="4">
    <x:dxf>
      <x:font>
        <x:b/>
      </x:font>
      <x:fill>
        <x:patternFill patternType="solid">
          <x:bgColor rgb="DCFCE7"/>
        </x:patternFill>
      </x:fill>
    </x:dxf>
    <x:dxf>
      <x:font>
        <x:b/>
      </x:font>
      <x:fill>
        <x:patternFill patternType="solid">
          <x:bgColor rgb="FEE2E2"/>
        </x:patternFill>
      </x:fill>
    </x:dxf>
    <x:dxf>
      <x:font>
        <x:b/>
      </x:font>
      <x:fill>
        <x:patternFill patternType="solid">
          <x:bgColor rgb="DCFCE7"/>
        </x:patternFill>
      </x:fill>
    </x:dxf>
    <x:dxf>
      <x:font>
        <x:b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fa12e3335b4e2e" /><Relationship Type="http://schemas.openxmlformats.org/officeDocument/2006/relationships/theme" Target="/xl/theme/theme1.xml" Id="R9a0ee2380f9c468a" /><Relationship Type="http://schemas.openxmlformats.org/officeDocument/2006/relationships/sharedStrings" Target="/xl/sharedStrings.xml" Id="Ra3b45180c9c34450" /><Relationship Type="http://schemas.openxmlformats.org/officeDocument/2006/relationships/worksheet" Target="/xl/worksheets/sheet1.xml" Id="R6f9d9ddd1d9c4d2e" /><Relationship Type="http://schemas.openxmlformats.org/officeDocument/2006/relationships/worksheet" Target="/xl/worksheets/sheet2.xml" Id="R834bc379392d4a91" /><Relationship Type="http://schemas.openxmlformats.org/officeDocument/2006/relationships/worksheet" Target="/xl/worksheets/sheet3.xml" Id="R843965adbccd49d6" /><Relationship Type="http://schemas.openxmlformats.org/officeDocument/2006/relationships/worksheet" Target="/xl/worksheets/sheet4.xml" Id="R247d87eeed6d4887" /><Relationship Type="http://schemas.openxmlformats.org/officeDocument/2006/relationships/worksheet" Target="/xl/worksheets/sheet5.xml" Id="R4c2efc9c017a46cd" /><Relationship Type="http://schemas.openxmlformats.org/officeDocument/2006/relationships/worksheet" Target="/xl/worksheets/sheet6.xml" Id="R76952b0cfb2140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7dc3e983214c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Combined score comparison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Combined Score</c:v>
          </c:tx>
          <c:cat>
            <c:strRef>
              <c:f>'SUMMARY'!$M$5:$M$8</c:f>
              <c:strCache>
                <c:ptCount val="0"/>
              </c:strCache>
            </c:strRef>
          </c:cat>
          <c:val>
            <c:numRef>
              <c:f>'SUMMARY'!$N$5:$N$8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7dc3e983214cb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cd59e1bcbcb446d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14" hidden="0" customWidth="1"/>
    <x:col min="4" max="4" width="12" hidden="0" customWidth="1"/>
    <x:col min="5" max="5" width="14" hidden="0" customWidth="1"/>
    <x:col min="6" max="6" width="8" hidden="0" customWidth="1"/>
    <x:col min="7" max="7" width="14" hidden="0" customWidth="1"/>
    <x:col min="9" max="9" width="16" hidden="0" customWidth="1"/>
    <x:col min="10" max="10" width="22" hidden="0" customWidth="1"/>
    <x:col min="11" max="11" width="34" hidden="0" customWidth="1"/>
    <x:col min="13" max="13" width="2" hidden="0" customWidth="1"/>
    <x:col min="14" max="14" width="2" hidden="0" customWidth="1"/>
  </x:cols>
  <x:sheetData>
    <x:row r="1" ht="24" customHeight="1">
      <x:c r="A1" s="4" t="str">
        <x:v>Weighted SWOT / Decision Analysis Template — FRP Bridge Options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9" t="str">
        <x:v>Assess continuous versus split FRP bridge concepts for a 3.5 m pedestrian walkway and cycle track. Enter raw scores (1–5) and SWOT ratings (-3 to +3) on each option sheet.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8" customHeight="1">
      <x:c r="A4" s="14" t="str">
        <x:v>Option</x:v>
      </x:c>
      <x:c r="B4" s="14" t="str">
        <x:v>Description</x:v>
      </x:c>
      <x:c r="C4" s="14" t="str">
        <x:v>Weighted Score</x:v>
      </x:c>
      <x:c r="D4" s="14" t="str">
        <x:v>SWOT Net</x:v>
      </x:c>
      <x:c r="E4" s="14" t="str">
        <x:v>Combined Score</x:v>
      </x:c>
      <x:c r="F4" s="14" t="str">
        <x:v>Rank</x:v>
      </x:c>
      <x:c r="G4" s="14" t="str">
        <x:v>Status</x:v>
      </x:c>
      <x:c r="I4" s="14" t="str">
        <x:v>Dashboard</x:v>
      </x:c>
      <x:c r="J4" s="14" t="str"/>
      <x:c r="M4" s="19" t="str">
        <x:v>Option</x:v>
      </x:c>
      <x:c r="N4" s="19" t="str">
        <x:v>Combined Score</x:v>
      </x:c>
    </x:row>
    <x:row r="5" ht="34" customHeight="1">
      <x:c r="A5" s="22" t="str">
        <x:f>'OPTION_1_CONTINUOUS'!C4</x:f>
        <x:v>Continuous FRP bridge deck</x:v>
      </x:c>
      <x:c r="B5" s="22" t="str">
        <x:f>'OPTION_1_CONTINUOUS'!C5</x:f>
        <x:v>One-piece FRP bridge deck for a 3.5 m pedestrian walkway and cycle track</x:v>
      </x:c>
      <x:c r="C5" s="23" t="str">
        <x:f>IF('OPTION_1_CONTINUOUS'!C7="","",'OPTION_1_CONTINUOUS'!C7)</x:f>
      </x:c>
      <x:c r="D5" s="23" t="str">
        <x:f>IF('OPTION_1_CONTINUOUS'!C8="","",'OPTION_1_CONTINUOUS'!C8)</x:f>
      </x:c>
      <x:c r="E5" s="23" t="str">
        <x:f>IF('OPTION_1_CONTINUOUS'!C9="","",'OPTION_1_CONTINUOUS'!C9)</x:f>
      </x:c>
      <x:c r="F5" s="24" t="str">
        <x:f>IF(E5="","",RANK(E5,$E$5:$E$8,0))</x:f>
      </x:c>
      <x:c r="G5" s="22" t="str">
        <x:f>IF(E5="","",IF(F5=1,"WINNER",IF(F5=MAX($F$5:$F$8),"LOSER","")))</x:f>
      </x:c>
      <x:c r="I5" s="21" t="str">
        <x:v>Best option</x:v>
      </x:c>
      <x:c r="J5" s="21" t="str">
        <x:f>IF(COUNT(E5:E8)=0,"",INDEX(A5:A8,MATCH(MAX(E5:E8),E5:E8,0)))</x:f>
      </x:c>
      <x:c r="M5" s="19" t="str">
        <x:f>A5</x:f>
        <x:v>Continuous FRP bridge deck</x:v>
      </x:c>
      <x:c r="N5" s="19" t="str">
        <x:f>E5</x:f>
      </x:c>
    </x:row>
    <x:row r="6" ht="34" customHeight="1">
      <x:c r="A6" s="22" t="str">
        <x:f>'OPTION_2_SPLIT_2'!C4</x:f>
        <x:v>2-piece longitudinal split</x:v>
      </x:c>
      <x:c r="B6" s="22" t="str">
        <x:f>'OPTION_2_SPLIT_2'!C5</x:f>
        <x:v>FRP bridge deck split into two transportable modules then joined on site</x:v>
      </x:c>
      <x:c r="C6" s="23" t="str">
        <x:f>IF('OPTION_2_SPLIT_2'!C7="","",'OPTION_2_SPLIT_2'!C7)</x:f>
      </x:c>
      <x:c r="D6" s="23" t="str">
        <x:f>IF('OPTION_2_SPLIT_2'!C8="","",'OPTION_2_SPLIT_2'!C8)</x:f>
      </x:c>
      <x:c r="E6" s="23" t="str">
        <x:f>IF('OPTION_2_SPLIT_2'!C9="","",'OPTION_2_SPLIT_2'!C9)</x:f>
      </x:c>
      <x:c r="F6" s="24" t="str">
        <x:f>IF(E6="","",RANK(E6,$E$5:$E$8,0))</x:f>
      </x:c>
      <x:c r="G6" s="22" t="str">
        <x:f>IF(E6="","",IF(F6=1,"WINNER",IF(F6=MAX($F$5:$F$8),"LOSER","")))</x:f>
      </x:c>
      <x:c r="I6" s="21" t="str">
        <x:v>Best score</x:v>
      </x:c>
      <x:c r="J6" s="21" t="str">
        <x:f>IF(COUNT(E5:E8)=0,"",MAX(E5:E8))</x:f>
      </x:c>
      <x:c r="M6" s="19" t="str">
        <x:f>A6</x:f>
        <x:v>2-piece longitudinal split</x:v>
      </x:c>
      <x:c r="N6" s="19" t="str">
        <x:f>E6</x:f>
      </x:c>
    </x:row>
    <x:row r="7" ht="34" customHeight="1">
      <x:c r="A7" s="22" t="str">
        <x:f>'OPTION_3_SPLIT_3'!C4</x:f>
        <x:v>3-piece modular split</x:v>
      </x:c>
      <x:c r="B7" s="22" t="str">
        <x:f>'OPTION_3_SPLIT_3'!C5</x:f>
        <x:v>Three FRP modules assembled on site to form the 3.5 m walkway/cycle bridge</x:v>
      </x:c>
      <x:c r="C7" s="23" t="str">
        <x:f>IF('OPTION_3_SPLIT_3'!C7="","",'OPTION_3_SPLIT_3'!C7)</x:f>
      </x:c>
      <x:c r="D7" s="23" t="str">
        <x:f>IF('OPTION_3_SPLIT_3'!C8="","",'OPTION_3_SPLIT_3'!C8)</x:f>
      </x:c>
      <x:c r="E7" s="23" t="str">
        <x:f>IF('OPTION_3_SPLIT_3'!C9="","",'OPTION_3_SPLIT_3'!C9)</x:f>
      </x:c>
      <x:c r="F7" s="24" t="str">
        <x:f>IF(E7="","",RANK(E7,$E$5:$E$8,0))</x:f>
      </x:c>
      <x:c r="G7" s="22" t="str">
        <x:f>IF(E7="","",IF(F7=1,"WINNER",IF(F7=MAX($F$5:$F$8),"LOSER","")))</x:f>
      </x:c>
      <x:c r="I7" s="21" t="str">
        <x:v>Lowest option</x:v>
      </x:c>
      <x:c r="J7" s="21" t="str">
        <x:f>IF(COUNT(E5:E8)=0,"",INDEX(A5:A8,MATCH(MIN(E5:E8),E5:E8,0)))</x:f>
      </x:c>
      <x:c r="M7" s="19" t="str">
        <x:f>A7</x:f>
        <x:v>3-piece modular split</x:v>
      </x:c>
      <x:c r="N7" s="19" t="str">
        <x:f>E7</x:f>
      </x:c>
    </x:row>
    <x:row r="8" ht="34" customHeight="1">
      <x:c r="A8" s="22" t="str">
        <x:f>'OPTION_4_HYBRID'!C4</x:f>
        <x:v>Hybrid split/continuous concept</x:v>
      </x:c>
      <x:c r="B8" s="22" t="str">
        <x:f>'OPTION_4_HYBRID'!C5</x:f>
        <x:v>Hybrid concept such as FRP deck panels on supporting beams or a partial split solution</x:v>
      </x:c>
      <x:c r="C8" s="23" t="str">
        <x:f>IF('OPTION_4_HYBRID'!C7="","",'OPTION_4_HYBRID'!C7)</x:f>
      </x:c>
      <x:c r="D8" s="23" t="str">
        <x:f>IF('OPTION_4_HYBRID'!C8="","",'OPTION_4_HYBRID'!C8)</x:f>
      </x:c>
      <x:c r="E8" s="23" t="str">
        <x:f>IF('OPTION_4_HYBRID'!C9="","",'OPTION_4_HYBRID'!C9)</x:f>
      </x:c>
      <x:c r="F8" s="24" t="str">
        <x:f>IF(E8="","",RANK(E8,$E$5:$E$8,0))</x:f>
      </x:c>
      <x:c r="G8" s="22" t="str">
        <x:f>IF(E8="","",IF(F8=1,"WINNER",IF(F8=MAX($F$5:$F$8),"LOSER","")))</x:f>
      </x:c>
      <x:c r="I8" s="21" t="str">
        <x:v>Lowest score</x:v>
      </x:c>
      <x:c r="J8" s="21" t="str">
        <x:f>IF(COUNT(E5:E8)=0,"",MIN(E5:E8))</x:f>
      </x:c>
      <x:c r="M8" s="19" t="str">
        <x:f>A8</x:f>
        <x:v>Hybrid split/continuous concept</x:v>
      </x:c>
      <x:c r="N8" s="19" t="n">
        <x:f>E8</x:f>
        <x:v>0</x:v>
      </x:c>
    </x:row>
    <x:row r="9">
      <x:c r="I9" s="21" t="str">
        <x:v>Weight check</x:v>
      </x:c>
      <x:c r="J9" s="21" t="n">
        <x:f>CRITERIA!C22</x:f>
        <x:v>1.0000000000000002</x:v>
      </x:c>
    </x:row>
    <x:row r="10">
      <x:c r="A10" s="16" t="str">
        <x:v>Tip: copy an option sheet to test new concepts. Rankings update automatically once scores are entered.</x:v>
      </x:c>
      <x:c r="B10" s="16" t="str"/>
      <x:c r="C10" s="16" t="str"/>
      <x:c r="D10" s="16" t="str"/>
      <x:c r="E10" s="16" t="str"/>
      <x:c r="F10" s="16" t="str"/>
      <x:c r="G10" s="16" t="str"/>
    </x:row>
    <x:row r="11" ht="28" customHeight="1">
      <x:c r="I11" s="14" t="str">
        <x:v>How to use</x:v>
      </x:c>
      <x:c r="J11" s="14" t="str"/>
      <x:c r="K11" s="14" t="str"/>
    </x:row>
    <x:row r="12">
      <x:c r="I12" s="21" t="str">
        <x:v>Raw score</x:v>
      </x:c>
      <x:c r="J12" s="21" t="str">
        <x:v>1 to 5</x:v>
      </x:c>
      <x:c r="K12" s="21" t="str">
        <x:v>1 = very poor, 5 = excellent</x:v>
      </x:c>
    </x:row>
    <x:row r="13">
      <x:c r="I13" s="21" t="str">
        <x:v>Direction</x:v>
      </x:c>
      <x:c r="J13" s="21" t="str">
        <x:v>Automatic</x:v>
      </x:c>
      <x:c r="K13" s="21" t="str">
        <x:v>Lower-better criteria are reversed in the normalized score</x:v>
      </x:c>
    </x:row>
    <x:row r="14">
      <x:c r="I14" s="21" t="str">
        <x:v>SWOT rating</x:v>
      </x:c>
      <x:c r="J14" s="21" t="str">
        <x:v>-3 to +3</x:v>
      </x:c>
      <x:c r="K14" s="21" t="str">
        <x:v>-3 = strong negative, +3 = strong positive</x:v>
      </x:c>
    </x:row>
    <x:row r="15">
      <x:c r="I15" s="21" t="str">
        <x:v>Combined score</x:v>
      </x:c>
      <x:c r="J15" s="21" t="str">
        <x:v>Weighted*100 + SWOT</x:v>
      </x:c>
      <x:c r="K15" s="21" t="str">
        <x:v>Decision score dominates while SWOT adds qualitative judgement</x:v>
      </x:c>
    </x:row>
  </x:sheetData>
  <x:mergeCells>
    <x:mergeCell ref="A1:K1"/>
    <x:mergeCell ref="A2:K2"/>
    <x:mergeCell ref="A10:G10"/>
  </x:mergeCells>
  <x:conditionalFormatting sqref="E5:E8">
    <x:cfRule type="dataBar" priority="1">
      <x:dataBar>
        <x:cfvo type="min"/>
        <x:cfvo type="max"/>
        <x:color rgb="2C7A7B"/>
      </x:dataBar>
    </x:cfRule>
    <x:cfRule type="expression" dxfId="0" priority="2">
      <x:formula>E5=MAX($E$5:$E$8)</x:formula>
    </x:cfRule>
    <x:cfRule type="expression" dxfId="1" priority="3">
      <x:formula>E5=MIN($E$5:$E$8)</x:formula>
    </x:cfRule>
  </x:conditionalFormatting>
  <x:conditionalFormatting sqref="G5:G8">
    <x:cfRule type="expression" dxfId="2" priority="4">
      <x:formula>G5="WINNER"</x:formula>
    </x:cfRule>
    <x:cfRule type="expression" dxfId="3" priority="5">
      <x:formula>G5="LOSER"</x:formula>
    </x:cfRule>
  </x:conditionalFormatting>
  <x:pageMargins left="0.7" right="0.7" top="0.75" bottom="0.75" header="0.3" footer="0.3"/>
  <x:drawing xmlns:r="http://schemas.openxmlformats.org/officeDocument/2006/relationships" r:id="R0cd59e1bcbcb446d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0" hidden="0" customWidth="1"/>
    <x:col min="4" max="4" width="14" hidden="0" customWidth="1"/>
    <x:col min="5" max="5" width="28" hidden="0" customWidth="1"/>
    <x:col min="6" max="6" width="26" hidden="0" customWidth="1"/>
  </x:cols>
  <x:sheetData>
    <x:row r="1" ht="24" customHeight="1">
      <x:c r="A1" s="4" t="str">
        <x:v>Criteria, weights and scoring guide</x:v>
      </x:c>
      <x:c r="B1" s="4"/>
      <x:c r="C1" s="4"/>
      <x:c r="D1" s="4"/>
      <x:c r="E1" s="4"/>
      <x:c r="F1" s="4"/>
    </x:row>
    <x:row r="2" ht="34" customHeight="1">
      <x:c r="A2" s="9" t="str">
        <x:v>Weights sum to 1.00. Adjust the criteria here first; all option sheets link directly back to this sheet.</x:v>
      </x:c>
      <x:c r="B2" s="9"/>
      <x:c r="C2" s="9"/>
      <x:c r="D2" s="9"/>
      <x:c r="E2" s="9"/>
      <x:c r="F2" s="9"/>
    </x:row>
    <x:row r="4" ht="28" customHeight="1">
      <x:c r="A4" s="14" t="str">
        <x:v>Category</x:v>
      </x:c>
      <x:c r="B4" s="14" t="str">
        <x:v>Criterion</x:v>
      </x:c>
      <x:c r="C4" s="14" t="str">
        <x:v>Weight</x:v>
      </x:c>
      <x:c r="D4" s="14" t="str">
        <x:v>Direction</x:v>
      </x:c>
      <x:c r="E4" s="14" t="str">
        <x:v>Notes</x:v>
      </x:c>
      <x:c r="F4" s="14" t="str">
        <x:v>Why it matters here</x:v>
      </x:c>
    </x:row>
    <x:row r="5">
      <x:c r="A5" s="22" t="str">
        <x:v>Strength</x:v>
      </x:c>
      <x:c r="B5" s="22" t="str">
        <x:v>Structural capacity</x:v>
      </x:c>
      <x:c r="C5" s="26" t="n">
        <x:v>0.1</x:v>
      </x:c>
      <x:c r="D5" s="22" t="str">
        <x:v>Higher better</x:v>
      </x:c>
      <x:c r="E5" s="22" t="str">
        <x:v>Ultimate strength / reserve</x:v>
      </x:c>
      <x:c r="F5" s="22" t="str">
        <x:v>Primary adequacy check.</x:v>
      </x:c>
    </x:row>
    <x:row r="6">
      <x:c r="A6" s="22" t="str">
        <x:v>Strength</x:v>
      </x:c>
      <x:c r="B6" s="22" t="str">
        <x:v>Stiffness / deflection</x:v>
      </x:c>
      <x:c r="C6" s="26" t="n">
        <x:v>0.08</x:v>
      </x:c>
      <x:c r="D6" s="22" t="str">
        <x:v>Higher better</x:v>
      </x:c>
      <x:c r="E6" s="22" t="str">
        <x:v>User comfort and serviceability</x:v>
      </x:c>
      <x:c r="F6" s="22" t="str">
        <x:v>Controls comfort and serviceability.</x:v>
      </x:c>
    </x:row>
    <x:row r="7">
      <x:c r="A7" s="22" t="str">
        <x:v>Strength</x:v>
      </x:c>
      <x:c r="B7" s="22" t="str">
        <x:v>Dynamic / vibration performance</x:v>
      </x:c>
      <x:c r="C7" s="26" t="n">
        <x:v>0.05</x:v>
      </x:c>
      <x:c r="D7" s="22" t="str">
        <x:v>Higher better</x:v>
      </x:c>
      <x:c r="E7" s="22" t="str">
        <x:v>Pedestrian/cycle comfort</x:v>
      </x:c>
      <x:c r="F7" s="22" t="str">
        <x:v>Important for pedestrians and cyclists.</x:v>
      </x:c>
    </x:row>
    <x:row r="8">
      <x:c r="A8" s="22" t="str">
        <x:v>Geometry</x:v>
      </x:c>
      <x:c r="B8" s="22" t="str">
        <x:v>Suitability for 3.5 m walkway/cycle width</x:v>
      </x:c>
      <x:c r="C8" s="26" t="n">
        <x:v>0.05</x:v>
      </x:c>
      <x:c r="D8" s="22" t="str">
        <x:v>Higher better</x:v>
      </x:c>
      <x:c r="E8" s="22" t="str">
        <x:v>Functional width and layout</x:v>
      </x:c>
      <x:c r="F8" s="22" t="str">
        <x:v>Checks the functional deck arrangement.</x:v>
      </x:c>
    </x:row>
    <x:row r="9">
      <x:c r="A9" s="22" t="str">
        <x:v>Transport</x:v>
      </x:c>
      <x:c r="B9" s="22" t="str">
        <x:v>Ease of transport</x:v>
      </x:c>
      <x:c r="C9" s="26" t="n">
        <x:v>0.11</x:v>
      </x:c>
      <x:c r="D9" s="22" t="str">
        <x:v>Higher better</x:v>
      </x:c>
      <x:c r="E9" s="22" t="str">
        <x:v>Abnormal load constraints</x:v>
      </x:c>
      <x:c r="F9" s="22" t="str">
        <x:v>Continuous FRP units can be difficult to haul.</x:v>
      </x:c>
    </x:row>
    <x:row r="10">
      <x:c r="A10" s="22" t="str">
        <x:v>Transport</x:v>
      </x:c>
      <x:c r="B10" s="22" t="str">
        <x:v>Need to split for transport</x:v>
      </x:c>
      <x:c r="C10" s="26" t="n">
        <x:v>0.06</x:v>
      </x:c>
      <x:c r="D10" s="22" t="str">
        <x:v>Lower better</x:v>
      </x:c>
      <x:c r="E10" s="22" t="str">
        <x:v>Penalize if forced split</x:v>
      </x:c>
      <x:c r="F10" s="22" t="str">
        <x:v>Captures if a split is forced by logistics.</x:v>
      </x:c>
    </x:row>
    <x:row r="11">
      <x:c r="A11" s="22" t="str">
        <x:v>Installation</x:v>
      </x:c>
      <x:c r="B11" s="22" t="str">
        <x:v>Ease of installation</x:v>
      </x:c>
      <x:c r="C11" s="26" t="n">
        <x:v>0.1</x:v>
      </x:c>
      <x:c r="D11" s="22" t="str">
        <x:v>Higher better</x:v>
      </x:c>
      <x:c r="E11" s="22" t="str">
        <x:v>Site simplicity</x:v>
      </x:c>
      <x:c r="F11" s="22" t="str">
        <x:v>Measures erection simplicity on site.</x:v>
      </x:c>
    </x:row>
    <x:row r="12">
      <x:c r="A12" s="22" t="str">
        <x:v>Installation</x:v>
      </x:c>
      <x:c r="B12" s="22" t="str">
        <x:v>Crane / lifting demand</x:v>
      </x:c>
      <x:c r="C12" s="26" t="n">
        <x:v>0.07</x:v>
      </x:c>
      <x:c r="D12" s="22" t="str">
        <x:v>Lower better</x:v>
      </x:c>
      <x:c r="E12" s="22" t="str">
        <x:v>Heavier or awkward lifts score worse</x:v>
      </x:c>
      <x:c r="F12" s="22" t="str">
        <x:v>Large lifts can drive cost and access risk.</x:v>
      </x:c>
    </x:row>
    <x:row r="13">
      <x:c r="A13" s="22" t="str">
        <x:v>Installation</x:v>
      </x:c>
      <x:c r="B13" s="22" t="str">
        <x:v>Risk of site joints / splices</x:v>
      </x:c>
      <x:c r="C13" s="26" t="n">
        <x:v>0.06</x:v>
      </x:c>
      <x:c r="D13" s="22" t="str">
        <x:v>Lower better</x:v>
      </x:c>
      <x:c r="E13" s="22" t="str">
        <x:v>Split options may score worse</x:v>
      </x:c>
      <x:c r="F13" s="22" t="str">
        <x:v>More joints usually increase tolerance and durability risk.</x:v>
      </x:c>
    </x:row>
    <x:row r="14">
      <x:c r="A14" s="22" t="str">
        <x:v>Durability</x:v>
      </x:c>
      <x:c r="B14" s="22" t="str">
        <x:v>Durability / corrosion resistance</x:v>
      </x:c>
      <x:c r="C14" s="26" t="n">
        <x:v>0.07</x:v>
      </x:c>
      <x:c r="D14" s="22" t="str">
        <x:v>Higher better</x:v>
      </x:c>
      <x:c r="E14" s="22" t="str">
        <x:v>FRP lifecycle benefit</x:v>
      </x:c>
      <x:c r="F14" s="22" t="str">
        <x:v>A core benefit of FRP solutions.</x:v>
      </x:c>
    </x:row>
    <x:row r="15">
      <x:c r="A15" s="22" t="str">
        <x:v>Maintenance</x:v>
      </x:c>
      <x:c r="B15" s="22" t="str">
        <x:v>Inspection and maintenance access</x:v>
      </x:c>
      <x:c r="C15" s="26" t="n">
        <x:v>0.05</x:v>
      </x:c>
      <x:c r="D15" s="22" t="str">
        <x:v>Higher better</x:v>
      </x:c>
      <x:c r="E15" s="22" t="str">
        <x:v>Access to joints and components</x:v>
      </x:c>
      <x:c r="F15" s="22" t="str">
        <x:v>Mixed systems and joints need access.</x:v>
      </x:c>
    </x:row>
    <x:row r="16">
      <x:c r="A16" s="22" t="str">
        <x:v>Cost</x:v>
      </x:c>
      <x:c r="B16" s="22" t="str">
        <x:v>Fabrication cost</x:v>
      </x:c>
      <x:c r="C16" s="26" t="n">
        <x:v>0.06</x:v>
      </x:c>
      <x:c r="D16" s="22" t="str">
        <x:v>Lower better</x:v>
      </x:c>
      <x:c r="E16" s="22" t="str">
        <x:v>Initial manufacture</x:v>
      </x:c>
      <x:c r="F16" s="22" t="str">
        <x:v>Different module strategies alter manufacturing effort.</x:v>
      </x:c>
    </x:row>
    <x:row r="17">
      <x:c r="A17" s="22" t="str">
        <x:v>Cost</x:v>
      </x:c>
      <x:c r="B17" s="22" t="str">
        <x:v>Transport cost</x:v>
      </x:c>
      <x:c r="C17" s="26" t="n">
        <x:v>0.04</x:v>
      </x:c>
      <x:c r="D17" s="22" t="str">
        <x:v>Lower better</x:v>
      </x:c>
      <x:c r="E17" s="22" t="str">
        <x:v>Delivery / escort / haulage</x:v>
      </x:c>
      <x:c r="F17" s="22" t="str">
        <x:v>Route limits and escorts can be expensive.</x:v>
      </x:c>
    </x:row>
    <x:row r="18">
      <x:c r="A18" s="22" t="str">
        <x:v>Cost</x:v>
      </x:c>
      <x:c r="B18" s="22" t="str">
        <x:v>Installation cost</x:v>
      </x:c>
      <x:c r="C18" s="26" t="n">
        <x:v>0.04</x:v>
      </x:c>
      <x:c r="D18" s="22" t="str">
        <x:v>Lower better</x:v>
      </x:c>
      <x:c r="E18" s="22" t="str">
        <x:v>Plant and labour</x:v>
      </x:c>
      <x:c r="F18" s="22" t="str">
        <x:v>Crane time and assembly labour matter.</x:v>
      </x:c>
    </x:row>
    <x:row r="19">
      <x:c r="A19" s="22" t="str">
        <x:v>Risk</x:v>
      </x:c>
      <x:c r="B19" s="22" t="str">
        <x:v>Programme / delivery risk</x:v>
      </x:c>
      <x:c r="C19" s="26" t="n">
        <x:v>0.03</x:v>
      </x:c>
      <x:c r="D19" s="22" t="str">
        <x:v>Lower better</x:v>
      </x:c>
      <x:c r="E19" s="22" t="str">
        <x:v>Supply chain / installation sensitivity</x:v>
      </x:c>
      <x:c r="F19" s="22" t="str">
        <x:v>Logistics uncertainty affects delivery confidence.</x:v>
      </x:c>
    </x:row>
    <x:row r="20">
      <x:c r="A20" s="22" t="str">
        <x:v>Risk</x:v>
      </x:c>
      <x:c r="B20" s="22" t="str">
        <x:v>Design complexity</x:v>
      </x:c>
      <x:c r="C20" s="26" t="n">
        <x:v>0.03</x:v>
      </x:c>
      <x:c r="D20" s="22" t="str">
        <x:v>Lower better</x:v>
      </x:c>
      <x:c r="E20" s="22" t="str">
        <x:v>Complexity of analysis/details</x:v>
      </x:c>
      <x:c r="F20" s="22" t="str">
        <x:v>Complex interfaces and details can slow progress.</x:v>
      </x:c>
    </x:row>
    <x:row r="21">
      <x:c r="C21" s="25"/>
    </x:row>
    <x:row r="22">
      <x:c r="B22" t="str">
        <x:v>Total weight</x:v>
      </x:c>
      <x:c r="C22" s="25" t="n">
        <x:f>SUM(C5:C20)</x:f>
        <x:v>1.0000000000000002</x:v>
      </x:c>
    </x:row>
    <x:row r="24" ht="28" customHeight="1">
      <x:c r="A24" s="14" t="str">
        <x:v>Score guide</x:v>
      </x:c>
      <x:c r="B24" s="14" t="str"/>
      <x:c r="C24" s="14" t="str"/>
    </x:row>
    <x:row r="25">
      <x:c r="A25" s="21" t="n">
        <x:v>1</x:v>
      </x:c>
      <x:c r="B25" s="21" t="str">
        <x:v>Very poor</x:v>
      </x:c>
      <x:c r="C25" s="21" t="str">
        <x:v>Unacceptable or very weak against the criterion</x:v>
      </x:c>
    </x:row>
    <x:row r="26">
      <x:c r="A26" s="21" t="n">
        <x:v>2</x:v>
      </x:c>
      <x:c r="B26" s="21" t="str">
        <x:v>Poor</x:v>
      </x:c>
      <x:c r="C26" s="21" t="str">
        <x:v>Below preferred standard / notable drawback</x:v>
      </x:c>
    </x:row>
    <x:row r="27">
      <x:c r="A27" s="21" t="n">
        <x:v>3</x:v>
      </x:c>
      <x:c r="B27" s="21" t="str">
        <x:v>Acceptable</x:v>
      </x:c>
      <x:c r="C27" s="21" t="str">
        <x:v>Meets minimum expectation</x:v>
      </x:c>
    </x:row>
    <x:row r="28">
      <x:c r="A28" s="21" t="n">
        <x:v>4</x:v>
      </x:c>
      <x:c r="B28" s="21" t="str">
        <x:v>Good</x:v>
      </x:c>
      <x:c r="C28" s="21" t="str">
        <x:v>Performs well with manageable drawbacks</x:v>
      </x:c>
    </x:row>
    <x:row r="29">
      <x:c r="A29" s="21" t="n">
        <x:v>5</x:v>
      </x:c>
      <x:c r="B29" s="21" t="str">
        <x:v>Excellent</x:v>
      </x:c>
      <x:c r="C29" s="21" t="str">
        <x:v>Very strong performance against the criterion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0" hidden="0" customWidth="1"/>
    <x:col min="3" max="3" width="10" hidden="0" customWidth="1"/>
    <x:col min="4" max="4" width="15" hidden="0" customWidth="1"/>
    <x:col min="5" max="5" width="12" hidden="0" customWidth="1"/>
    <x:col min="6" max="6" width="13" hidden="0" customWidth="1"/>
    <x:col min="7" max="7" width="13" hidden="0" customWidth="1"/>
    <x:col min="8" max="8" width="32" hidden="0" customWidth="1"/>
    <x:col min="10" max="10" width="15" hidden="0" customWidth="1"/>
    <x:col min="11" max="11" width="48" hidden="0" customWidth="1"/>
    <x:col min="12" max="12" width="12" hidden="0" customWidth="1"/>
  </x:cols>
  <x:sheetData>
    <x:row r="1" ht="24" customHeight="1">
      <x:c r="A1" s="4" t="str">
        <x:v>Option assessment template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9" t="str">
        <x:v>Enter raw scores in column E and SWOT ratings in column L. The model normalizes lower-better criteria automatically.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4">
      <x:c r="B4" s="18" t="str">
        <x:v>Option Name</x:v>
      </x:c>
      <x:c r="C4" t="str">
        <x:v>Continuous FRP bridge deck</x:v>
      </x:c>
    </x:row>
    <x:row r="5">
      <x:c r="B5" s="18" t="str">
        <x:v>Description</x:v>
      </x:c>
      <x:c r="C5" t="str">
        <x:v>One-piece FRP bridge deck for a 3.5 m pedestrian walkway and cycle track</x:v>
      </x:c>
    </x:row>
    <x:row r="6">
      <x:c r="B6" s="18" t="str">
        <x:v>Key Assumption</x:v>
      </x:c>
      <x:c r="C6" t="str">
        <x:v>Transport route permits full-length delivery and a heavier single lift</x:v>
      </x:c>
    </x:row>
    <x:row r="7">
      <x:c r="B7" s="18" t="str">
        <x:v>Overall Weighted Score</x:v>
      </x:c>
      <x:c r="C7" s="27" t="str">
        <x:f>IF(COUNT(E12:E27)=0,"",SUM(G12:G27))</x:f>
      </x:c>
      <x:c r="D7" t="str">
        <x:v>Format</x:v>
      </x:c>
      <x:c r="E7" t="str">
        <x:v>0.000</x:v>
      </x:c>
    </x:row>
    <x:row r="8">
      <x:c r="B8" s="18" t="str">
        <x:v>SWOT Net Score</x:v>
      </x:c>
      <x:c r="C8" s="27" t="str">
        <x:f>IF(COUNT(L12:L19)=0,"",SUM(L12:L19))</x:f>
      </x:c>
      <x:c r="D8" t="str">
        <x:v>Format</x:v>
      </x:c>
      <x:c r="E8" t="str">
        <x:v>whole number</x:v>
      </x:c>
    </x:row>
    <x:row r="9">
      <x:c r="B9" s="18" t="str">
        <x:v>Combined Score</x:v>
      </x:c>
      <x:c r="C9" s="27" t="str">
        <x:f>IF(AND(C7="",C8=""),"",IF(C7="",0,C7)*100+IF(C8="",0,C8))</x:f>
      </x:c>
      <x:c r="D9" t="str">
        <x:v>Format</x:v>
      </x:c>
      <x:c r="E9" t="str">
        <x:v>decision-ready score</x:v>
      </x:c>
    </x:row>
    <x:row r="11" ht="28" customHeight="1">
      <x:c r="A11" s="14" t="str">
        <x:v>Category</x:v>
      </x:c>
      <x:c r="B11" s="14" t="str">
        <x:v>Criterion</x:v>
      </x:c>
      <x:c r="C11" s="14" t="str">
        <x:v>Weight</x:v>
      </x:c>
      <x:c r="D11" s="14" t="str">
        <x:v>Direction</x:v>
      </x:c>
      <x:c r="E11" s="14" t="str">
        <x:v>Raw Score (1-5)</x:v>
      </x:c>
      <x:c r="F11" s="14" t="str">
        <x:v>Normalized Score</x:v>
      </x:c>
      <x:c r="G11" s="14" t="str">
        <x:v>Weighted Score</x:v>
      </x:c>
      <x:c r="H11" s="14" t="str">
        <x:v>Comment</x:v>
      </x:c>
      <x:c r="J11" s="14" t="str">
        <x:v>SWOT Area</x:v>
      </x:c>
      <x:c r="K11" s="14" t="str">
        <x:v>Entry</x:v>
      </x:c>
      <x:c r="L11" s="14" t="str">
        <x:v>Rating (-3 to +3)</x:v>
      </x:c>
    </x:row>
    <x:row r="12" ht="24" customHeight="1">
      <x:c r="A12" s="22" t="str">
        <x:f>CRITERIA!A5</x:f>
        <x:v>Strength</x:v>
      </x:c>
      <x:c r="B12" s="22" t="str">
        <x:f>CRITERIA!B5</x:f>
        <x:v>Structural capacity</x:v>
      </x:c>
      <x:c r="C12" s="22" t="n">
        <x:f>CRITERIA!C5</x:f>
        <x:v>0.1</x:v>
      </x:c>
      <x:c r="D12" s="22" t="str">
        <x:f>CRITERIA!D5</x:f>
        <x:v>Higher better</x:v>
      </x:c>
      <x:c r="E12" s="28"/>
      <x:c r="F12" s="22" t="str">
        <x:f>IF(E12="","",IF(D12="Higher better",E12/5,(6-E12)/5))</x:f>
      </x:c>
      <x:c r="G12" s="22" t="str">
        <x:f>IF(F12="","",C12*F12)</x:f>
      </x:c>
      <x:c r="H12" s="22"/>
      <x:c r="J12" s="22" t="str">
        <x:v>Strengths</x:v>
      </x:c>
      <x:c r="K12" s="22" t="str">
        <x:v>Simple structural continuity and no site splice in the deck</x:v>
      </x:c>
      <x:c r="L12" s="29"/>
    </x:row>
    <x:row r="13" ht="24" customHeight="1">
      <x:c r="A13" s="22" t="str">
        <x:f>CRITERIA!A6</x:f>
        <x:v>Strength</x:v>
      </x:c>
      <x:c r="B13" s="22" t="str">
        <x:f>CRITERIA!B6</x:f>
        <x:v>Stiffness / deflection</x:v>
      </x:c>
      <x:c r="C13" s="22" t="n">
        <x:f>CRITERIA!C6</x:f>
        <x:v>0.08</x:v>
      </x:c>
      <x:c r="D13" s="22" t="str">
        <x:f>CRITERIA!D6</x:f>
        <x:v>Higher better</x:v>
      </x:c>
      <x:c r="E13" s="28"/>
      <x:c r="F13" s="22" t="str">
        <x:f>IF(E13="","",IF(D13="Higher better",E13/5,(6-E13)/5))</x:f>
      </x:c>
      <x:c r="G13" s="22" t="str">
        <x:f>IF(F13="","",C13*F13)</x:f>
      </x:c>
      <x:c r="H13" s="22"/>
      <x:c r="J13" s="22" t="str">
        <x:v>Strengths</x:v>
      </x:c>
      <x:c r="K13" s="22" t="str">
        <x:v>High inherent corrosion resistance of FRP deck</x:v>
      </x:c>
      <x:c r="L13" s="29"/>
    </x:row>
    <x:row r="14" ht="24" customHeight="1">
      <x:c r="A14" s="22" t="str">
        <x:f>CRITERIA!A7</x:f>
        <x:v>Strength</x:v>
      </x:c>
      <x:c r="B14" s="22" t="str">
        <x:f>CRITERIA!B7</x:f>
        <x:v>Dynamic / vibration performance</x:v>
      </x:c>
      <x:c r="C14" s="22" t="n">
        <x:f>CRITERIA!C7</x:f>
        <x:v>0.05</x:v>
      </x:c>
      <x:c r="D14" s="22" t="str">
        <x:f>CRITERIA!D7</x:f>
        <x:v>Higher better</x:v>
      </x:c>
      <x:c r="E14" s="28"/>
      <x:c r="F14" s="22" t="str">
        <x:f>IF(E14="","",IF(D14="Higher better",E14/5,(6-E14)/5))</x:f>
      </x:c>
      <x:c r="G14" s="22" t="str">
        <x:f>IF(F14="","",C14*F14)</x:f>
      </x:c>
      <x:c r="H14" s="22"/>
      <x:c r="J14" s="22" t="str">
        <x:v>Weaknesses</x:v>
      </x:c>
      <x:c r="K14" s="22" t="str">
        <x:v>Transport envelope may be challenging for full-length delivery</x:v>
      </x:c>
      <x:c r="L14" s="29"/>
    </x:row>
    <x:row r="15" ht="24" customHeight="1">
      <x:c r="A15" s="22" t="str">
        <x:f>CRITERIA!A8</x:f>
        <x:v>Geometry</x:v>
      </x:c>
      <x:c r="B15" s="22" t="str">
        <x:f>CRITERIA!B8</x:f>
        <x:v>Suitability for 3.5 m walkway/cycle width</x:v>
      </x:c>
      <x:c r="C15" s="22" t="n">
        <x:f>CRITERIA!C8</x:f>
        <x:v>0.05</x:v>
      </x:c>
      <x:c r="D15" s="22" t="str">
        <x:f>CRITERIA!D8</x:f>
        <x:v>Higher better</x:v>
      </x:c>
      <x:c r="E15" s="28"/>
      <x:c r="F15" s="22" t="str">
        <x:f>IF(E15="","",IF(D15="Higher better",E15/5,(6-E15)/5))</x:f>
      </x:c>
      <x:c r="G15" s="22" t="str">
        <x:f>IF(F15="","",C15*F15)</x:f>
      </x:c>
      <x:c r="H15" s="22"/>
      <x:c r="J15" s="22" t="str">
        <x:v>Weaknesses</x:v>
      </x:c>
      <x:c r="K15" s="22" t="str">
        <x:v>Larger crane or more constrained lift planning may be required</x:v>
      </x:c>
      <x:c r="L15" s="29"/>
    </x:row>
    <x:row r="16" ht="24" customHeight="1">
      <x:c r="A16" s="22" t="str">
        <x:f>CRITERIA!A9</x:f>
        <x:v>Transport</x:v>
      </x:c>
      <x:c r="B16" s="22" t="str">
        <x:f>CRITERIA!B9</x:f>
        <x:v>Ease of transport</x:v>
      </x:c>
      <x:c r="C16" s="22" t="n">
        <x:f>CRITERIA!C9</x:f>
        <x:v>0.11</x:v>
      </x:c>
      <x:c r="D16" s="22" t="str">
        <x:f>CRITERIA!D9</x:f>
        <x:v>Higher better</x:v>
      </x:c>
      <x:c r="E16" s="28"/>
      <x:c r="F16" s="22" t="str">
        <x:f>IF(E16="","",IF(D16="Higher better",E16/5,(6-E16)/5))</x:f>
      </x:c>
      <x:c r="G16" s="22" t="str">
        <x:f>IF(F16="","",C16*F16)</x:f>
      </x:c>
      <x:c r="H16" s="22"/>
      <x:c r="J16" s="22" t="str">
        <x:v>Opportunities</x:v>
      </x:c>
      <x:c r="K16" s="22" t="str">
        <x:v>Fast installation once on site if delivery is feasible</x:v>
      </x:c>
      <x:c r="L16" s="29"/>
    </x:row>
    <x:row r="17" ht="24" customHeight="1">
      <x:c r="A17" s="22" t="str">
        <x:f>CRITERIA!A10</x:f>
        <x:v>Transport</x:v>
      </x:c>
      <x:c r="B17" s="22" t="str">
        <x:f>CRITERIA!B10</x:f>
        <x:v>Need to split for transport</x:v>
      </x:c>
      <x:c r="C17" s="22" t="n">
        <x:f>CRITERIA!C10</x:f>
        <x:v>0.06</x:v>
      </x:c>
      <x:c r="D17" s="22" t="str">
        <x:f>CRITERIA!D10</x:f>
        <x:v>Lower better</x:v>
      </x:c>
      <x:c r="E17" s="28"/>
      <x:c r="F17" s="22" t="str">
        <x:f>IF(E17="","",IF(D17="Higher better",E17/5,(6-E17)/5))</x:f>
      </x:c>
      <x:c r="G17" s="22" t="str">
        <x:f>IF(F17="","",C17*F17)</x:f>
      </x:c>
      <x:c r="H17" s="22"/>
      <x:c r="J17" s="22" t="str">
        <x:v>Opportunities</x:v>
      </x:c>
      <x:c r="K17" s="22" t="str">
        <x:v>Reduced long-term maintenance at deck joints</x:v>
      </x:c>
      <x:c r="L17" s="29"/>
    </x:row>
    <x:row r="18" ht="24" customHeight="1">
      <x:c r="A18" s="22" t="str">
        <x:f>CRITERIA!A11</x:f>
        <x:v>Installation</x:v>
      </x:c>
      <x:c r="B18" s="22" t="str">
        <x:f>CRITERIA!B11</x:f>
        <x:v>Ease of installation</x:v>
      </x:c>
      <x:c r="C18" s="22" t="n">
        <x:f>CRITERIA!C11</x:f>
        <x:v>0.1</x:v>
      </x:c>
      <x:c r="D18" s="22" t="str">
        <x:f>CRITERIA!D11</x:f>
        <x:v>Higher better</x:v>
      </x:c>
      <x:c r="E18" s="28"/>
      <x:c r="F18" s="22" t="str">
        <x:f>IF(E18="","",IF(D18="Higher better",E18/5,(6-E18)/5))</x:f>
      </x:c>
      <x:c r="G18" s="22" t="str">
        <x:f>IF(F18="","",C18*F18)</x:f>
      </x:c>
      <x:c r="H18" s="22"/>
      <x:c r="J18" s="22" t="str">
        <x:v>Threats</x:v>
      </x:c>
      <x:c r="K18" s="22" t="str">
        <x:v>Route restrictions / escorts could delay delivery</x:v>
      </x:c>
      <x:c r="L18" s="29"/>
    </x:row>
    <x:row r="19" ht="24" customHeight="1">
      <x:c r="A19" s="22" t="str">
        <x:f>CRITERIA!A12</x:f>
        <x:v>Installation</x:v>
      </x:c>
      <x:c r="B19" s="22" t="str">
        <x:f>CRITERIA!B12</x:f>
        <x:v>Crane / lifting demand</x:v>
      </x:c>
      <x:c r="C19" s="22" t="n">
        <x:f>CRITERIA!C12</x:f>
        <x:v>0.07</x:v>
      </x:c>
      <x:c r="D19" s="22" t="str">
        <x:f>CRITERIA!D12</x:f>
        <x:v>Lower better</x:v>
      </x:c>
      <x:c r="E19" s="28"/>
      <x:c r="F19" s="22" t="str">
        <x:f>IF(E19="","",IF(D19="Higher better",E19/5,(6-E19)/5))</x:f>
      </x:c>
      <x:c r="G19" s="22" t="str">
        <x:f>IF(F19="","",C19*F19)</x:f>
      </x:c>
      <x:c r="H19" s="22"/>
      <x:c r="J19" s="22" t="str">
        <x:v>Threats</x:v>
      </x:c>
      <x:c r="K19" s="22" t="str">
        <x:v>Site access or crane reach constraints could drive redesign</x:v>
      </x:c>
      <x:c r="L19" s="29"/>
    </x:row>
    <x:row r="20">
      <x:c r="A20" s="22" t="str">
        <x:f>CRITERIA!A13</x:f>
        <x:v>Installation</x:v>
      </x:c>
      <x:c r="B20" s="22" t="str">
        <x:f>CRITERIA!B13</x:f>
        <x:v>Risk of site joints / splices</x:v>
      </x:c>
      <x:c r="C20" s="22" t="n">
        <x:f>CRITERIA!C13</x:f>
        <x:v>0.06</x:v>
      </x:c>
      <x:c r="D20" s="22" t="str">
        <x:f>CRITERIA!D13</x:f>
        <x:v>Lower better</x:v>
      </x:c>
      <x:c r="E20" s="28"/>
      <x:c r="F20" s="22" t="str">
        <x:f>IF(E20="","",IF(D20="Higher better",E20/5,(6-E20)/5))</x:f>
      </x:c>
      <x:c r="G20" s="22" t="str">
        <x:f>IF(F20="","",C20*F20)</x:f>
      </x:c>
      <x:c r="H20" s="22"/>
    </x:row>
    <x:row r="21" ht="28" customHeight="1">
      <x:c r="A21" s="22" t="str">
        <x:f>CRITERIA!A14</x:f>
        <x:v>Durability</x:v>
      </x:c>
      <x:c r="B21" s="22" t="str">
        <x:f>CRITERIA!B14</x:f>
        <x:v>Durability / corrosion resistance</x:v>
      </x:c>
      <x:c r="C21" s="22" t="n">
        <x:f>CRITERIA!C14</x:f>
        <x:v>0.07</x:v>
      </x:c>
      <x:c r="D21" s="22" t="str">
        <x:f>CRITERIA!D14</x:f>
        <x:v>Higher better</x:v>
      </x:c>
      <x:c r="E21" s="28"/>
      <x:c r="F21" s="22" t="str">
        <x:f>IF(E21="","",IF(D21="Higher better",E21/5,(6-E21)/5))</x:f>
      </x:c>
      <x:c r="G21" s="22" t="str">
        <x:f>IF(F21="","",C21*F21)</x:f>
      </x:c>
      <x:c r="H21" s="22"/>
      <x:c r="J21" s="14" t="str">
        <x:v>SWOT notes</x:v>
      </x:c>
      <x:c r="K21" s="14" t="str"/>
      <x:c r="L21" s="14" t="str"/>
    </x:row>
    <x:row r="22">
      <x:c r="A22" s="22" t="str">
        <x:f>CRITERIA!A15</x:f>
        <x:v>Maintenance</x:v>
      </x:c>
      <x:c r="B22" s="22" t="str">
        <x:f>CRITERIA!B15</x:f>
        <x:v>Inspection and maintenance access</x:v>
      </x:c>
      <x:c r="C22" s="22" t="n">
        <x:f>CRITERIA!C15</x:f>
        <x:v>0.05</x:v>
      </x:c>
      <x:c r="D22" s="22" t="str">
        <x:f>CRITERIA!D15</x:f>
        <x:v>Higher better</x:v>
      </x:c>
      <x:c r="E22" s="28"/>
      <x:c r="F22" s="22" t="str">
        <x:f>IF(E22="","",IF(D22="Higher better",E22/5,(6-E22)/5))</x:f>
      </x:c>
      <x:c r="G22" s="22" t="str">
        <x:f>IF(F22="","",C22*F22)</x:f>
      </x:c>
      <x:c r="H22" s="22"/>
      <x:c r="J22" s="21" t="str">
        <x:v>Positive values for strengths and opportunities.</x:v>
      </x:c>
      <x:c r="K22" s="21" t="str"/>
      <x:c r="L22" s="21" t="str"/>
    </x:row>
    <x:row r="23">
      <x:c r="A23" s="22" t="str">
        <x:f>CRITERIA!A16</x:f>
        <x:v>Cost</x:v>
      </x:c>
      <x:c r="B23" s="22" t="str">
        <x:f>CRITERIA!B16</x:f>
        <x:v>Fabrication cost</x:v>
      </x:c>
      <x:c r="C23" s="22" t="n">
        <x:f>CRITERIA!C16</x:f>
        <x:v>0.06</x:v>
      </x:c>
      <x:c r="D23" s="22" t="str">
        <x:f>CRITERIA!D16</x:f>
        <x:v>Lower better</x:v>
      </x:c>
      <x:c r="E23" s="28"/>
      <x:c r="F23" s="22" t="str">
        <x:f>IF(E23="","",IF(D23="Higher better",E23/5,(6-E23)/5))</x:f>
      </x:c>
      <x:c r="G23" s="22" t="str">
        <x:f>IF(F23="","",C23*F23)</x:f>
      </x:c>
      <x:c r="H23" s="22"/>
      <x:c r="J23" s="21" t="str">
        <x:v>Negative values for weaknesses and threats.</x:v>
      </x:c>
      <x:c r="K23" s="21" t="str"/>
      <x:c r="L23" s="21" t="str"/>
    </x:row>
    <x:row r="24">
      <x:c r="A24" s="22" t="str">
        <x:f>CRITERIA!A17</x:f>
        <x:v>Cost</x:v>
      </x:c>
      <x:c r="B24" s="22" t="str">
        <x:f>CRITERIA!B17</x:f>
        <x:v>Transport cost</x:v>
      </x:c>
      <x:c r="C24" s="22" t="n">
        <x:f>CRITERIA!C17</x:f>
        <x:v>0.04</x:v>
      </x:c>
      <x:c r="D24" s="22" t="str">
        <x:f>CRITERIA!D17</x:f>
        <x:v>Lower better</x:v>
      </x:c>
      <x:c r="E24" s="28"/>
      <x:c r="F24" s="22" t="str">
        <x:f>IF(E24="","",IF(D24="Higher better",E24/5,(6-E24)/5))</x:f>
      </x:c>
      <x:c r="G24" s="22" t="str">
        <x:f>IF(F24="","",C24*F24)</x:f>
      </x:c>
      <x:c r="H24" s="22"/>
      <x:c r="J24" s="21" t="str">
        <x:v>Use column H to capture engineering judgement or assumptions.</x:v>
      </x:c>
      <x:c r="K24" s="21" t="str"/>
      <x:c r="L24" s="21" t="str"/>
    </x:row>
    <x:row r="25">
      <x:c r="A25" s="22" t="str">
        <x:f>CRITERIA!A18</x:f>
        <x:v>Cost</x:v>
      </x:c>
      <x:c r="B25" s="22" t="str">
        <x:f>CRITERIA!B18</x:f>
        <x:v>Installation cost</x:v>
      </x:c>
      <x:c r="C25" s="22" t="n">
        <x:f>CRITERIA!C18</x:f>
        <x:v>0.04</x:v>
      </x:c>
      <x:c r="D25" s="22" t="str">
        <x:f>CRITERIA!D18</x:f>
        <x:v>Lower better</x:v>
      </x:c>
      <x:c r="E25" s="28"/>
      <x:c r="F25" s="22" t="str">
        <x:f>IF(E25="","",IF(D25="Higher better",E25/5,(6-E25)/5))</x:f>
      </x:c>
      <x:c r="G25" s="22" t="str">
        <x:f>IF(F25="","",C25*F25)</x:f>
      </x:c>
      <x:c r="H25" s="22"/>
      <x:c r="J25" s="21" t="str">
        <x:v>Duplicate this sheet for extra options if needed.</x:v>
      </x:c>
      <x:c r="K25" s="21" t="str"/>
      <x:c r="L25" s="21" t="str"/>
    </x:row>
    <x:row r="26">
      <x:c r="A26" s="22" t="str">
        <x:f>CRITERIA!A19</x:f>
        <x:v>Risk</x:v>
      </x:c>
      <x:c r="B26" s="22" t="str">
        <x:f>CRITERIA!B19</x:f>
        <x:v>Programme / delivery risk</x:v>
      </x:c>
      <x:c r="C26" s="22" t="n">
        <x:f>CRITERIA!C19</x:f>
        <x:v>0.03</x:v>
      </x:c>
      <x:c r="D26" s="22" t="str">
        <x:f>CRITERIA!D19</x:f>
        <x:v>Lower better</x:v>
      </x:c>
      <x:c r="E26" s="28"/>
      <x:c r="F26" s="22" t="str">
        <x:f>IF(E26="","",IF(D26="Higher better",E26/5,(6-E26)/5))</x:f>
      </x:c>
      <x:c r="G26" s="22" t="str">
        <x:f>IF(F26="","",C26*F26)</x:f>
      </x:c>
      <x:c r="H26" s="22"/>
    </x:row>
    <x:row r="27">
      <x:c r="A27" s="22" t="str">
        <x:f>CRITERIA!A20</x:f>
        <x:v>Risk</x:v>
      </x:c>
      <x:c r="B27" s="22" t="str">
        <x:f>CRITERIA!B20</x:f>
        <x:v>Design complexity</x:v>
      </x:c>
      <x:c r="C27" s="22" t="n">
        <x:f>CRITERIA!C20</x:f>
        <x:v>0.03</x:v>
      </x:c>
      <x:c r="D27" s="22" t="str">
        <x:f>CRITERIA!D20</x:f>
        <x:v>Lower better</x:v>
      </x:c>
      <x:c r="E27" s="28"/>
      <x:c r="F27" s="22" t="str">
        <x:f>IF(E27="","",IF(D27="Higher better",E27/5,(6-E27)/5))</x:f>
      </x:c>
      <x:c r="G27" s="22" t="str">
        <x:f>IF(F27="","",C27*F27)</x:f>
      </x:c>
      <x:c r="H27" s="22"/>
    </x:row>
    <x:row r="29">
      <x:c r="E29" s="18" t="str">
        <x:v>Total weighted score</x:v>
      </x:c>
      <x:c r="F29" s="18" t="str">
        <x:v>Total weighted score</x:v>
      </x:c>
      <x:c r="G29" s="19" t="str">
        <x:f>IF(COUNT(E12:E27)=0,"",SUM(G12:G27))</x:f>
      </x:c>
    </x:row>
    <x:row r="31" ht="28" customHeight="1">
      <x:c r="A31" s="14" t="str">
        <x:v>Score guide</x:v>
      </x:c>
      <x:c r="B31" s="14" t="str"/>
      <x:c r="C31" s="14" t="str"/>
      <x:c r="D31" s="14" t="str"/>
      <x:c r="E31" s="14" t="str"/>
    </x:row>
    <x:row r="32">
      <x:c r="A32" s="21" t="n">
        <x:v>1</x:v>
      </x:c>
      <x:c r="B32" s="21" t="str">
        <x:v>Very poor</x:v>
      </x:c>
      <x:c r="C32" s="21" t="str"/>
      <x:c r="D32" s="21" t="str"/>
      <x:c r="E32" s="21" t="str">
        <x:v>Use for severe drawback / likely showstopper</x:v>
      </x:c>
    </x:row>
    <x:row r="33">
      <x:c r="A33" s="21" t="n">
        <x:v>2</x:v>
      </x:c>
      <x:c r="B33" s="21" t="str">
        <x:v>Poor</x:v>
      </x:c>
      <x:c r="C33" s="21" t="str"/>
      <x:c r="D33" s="21" t="str"/>
      <x:c r="E33" s="21" t="str">
        <x:v>Below preferred standard with notable issue</x:v>
      </x:c>
    </x:row>
    <x:row r="34">
      <x:c r="A34" s="21" t="n">
        <x:v>3</x:v>
      </x:c>
      <x:c r="B34" s="21" t="str">
        <x:v>Acceptable</x:v>
      </x:c>
      <x:c r="C34" s="21" t="str"/>
      <x:c r="D34" s="21" t="str"/>
      <x:c r="E34" s="21" t="str">
        <x:v>Meets minimum acceptable requirement</x:v>
      </x:c>
    </x:row>
    <x:row r="35">
      <x:c r="A35" s="21" t="n">
        <x:v>4</x:v>
      </x:c>
      <x:c r="B35" s="21" t="str">
        <x:v>Good</x:v>
      </x:c>
      <x:c r="C35" s="21" t="str"/>
      <x:c r="D35" s="21" t="str"/>
      <x:c r="E35" s="21" t="str">
        <x:v>Strong performance with manageable issues</x:v>
      </x:c>
    </x:row>
    <x:row r="36">
      <x:c r="A36" s="21" t="n">
        <x:v>5</x:v>
      </x:c>
      <x:c r="B36" s="21" t="str">
        <x:v>Excellent</x:v>
      </x:c>
      <x:c r="C36" s="21" t="str"/>
      <x:c r="D36" s="21" t="str"/>
      <x:c r="E36" s="21" t="str">
        <x:v>Best-in-class / highly favourable outcome</x:v>
      </x:c>
    </x:row>
  </x:sheetData>
  <x:mergeCells>
    <x:mergeCell ref="A1:L1"/>
    <x:mergeCell ref="A2:L2"/>
    <x:mergeCell ref="C4:H4"/>
    <x:mergeCell ref="C5:H5"/>
    <x:mergeCell ref="C6:H6"/>
    <x:mergeCell ref="E29:F29"/>
  </x:mergeCells>
  <x:conditionalFormatting sqref="G12:G27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E12:E27">
    <x:cfRule type="dataBar" priority="2">
      <x:dataBar>
        <x:cfvo type="min"/>
        <x:cfvo type="max"/>
        <x:color rgb="F59E0B"/>
      </x:dataBar>
    </x:cfRule>
  </x:conditionalFormatting>
  <x:dataValidations count="2">
    <x:dataValidation type="list" sqref="E12:E27">
      <x:formula1>"1,2,3,4,5"</x:formula1>
    </x:dataValidation>
    <x:dataValidation type="list" sqref="L12:L19">
      <x:formula1>"-3,-2,-1,0,1,2,3"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0" hidden="0" customWidth="1"/>
    <x:col min="3" max="3" width="10" hidden="0" customWidth="1"/>
    <x:col min="4" max="4" width="15" hidden="0" customWidth="1"/>
    <x:col min="5" max="5" width="12" hidden="0" customWidth="1"/>
    <x:col min="6" max="6" width="13" hidden="0" customWidth="1"/>
    <x:col min="7" max="7" width="13" hidden="0" customWidth="1"/>
    <x:col min="8" max="8" width="32" hidden="0" customWidth="1"/>
    <x:col min="10" max="10" width="15" hidden="0" customWidth="1"/>
    <x:col min="11" max="11" width="48" hidden="0" customWidth="1"/>
    <x:col min="12" max="12" width="12" hidden="0" customWidth="1"/>
  </x:cols>
  <x:sheetData>
    <x:row r="1" ht="24" customHeight="1">
      <x:c r="A1" s="4" t="str">
        <x:v>Option assessment template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9" t="str">
        <x:v>Enter raw scores in column E and SWOT ratings in column L. The model normalizes lower-better criteria automatically.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4">
      <x:c r="B4" s="18" t="str">
        <x:v>Option Name</x:v>
      </x:c>
      <x:c r="C4" t="str">
        <x:v>2-piece longitudinal split</x:v>
      </x:c>
    </x:row>
    <x:row r="5">
      <x:c r="B5" s="18" t="str">
        <x:v>Description</x:v>
      </x:c>
      <x:c r="C5" t="str">
        <x:v>FRP bridge deck split into two transportable modules then joined on site</x:v>
      </x:c>
    </x:row>
    <x:row r="6">
      <x:c r="B6" s="18" t="str">
        <x:v>Key Assumption</x:v>
      </x:c>
      <x:c r="C6" t="str">
        <x:v>Joint detailing and alignment tolerances can be controlled during installation</x:v>
      </x:c>
    </x:row>
    <x:row r="7">
      <x:c r="B7" s="18" t="str">
        <x:v>Overall Weighted Score</x:v>
      </x:c>
      <x:c r="C7" s="27" t="str">
        <x:f>IF(COUNT(E12:E27)=0,"",SUM(G12:G27))</x:f>
      </x:c>
      <x:c r="D7" t="str">
        <x:v>Format</x:v>
      </x:c>
      <x:c r="E7" t="str">
        <x:v>0.000</x:v>
      </x:c>
    </x:row>
    <x:row r="8">
      <x:c r="B8" s="18" t="str">
        <x:v>SWOT Net Score</x:v>
      </x:c>
      <x:c r="C8" s="27" t="str">
        <x:f>IF(COUNT(L12:L19)=0,"",SUM(L12:L19))</x:f>
      </x:c>
      <x:c r="D8" t="str">
        <x:v>Format</x:v>
      </x:c>
      <x:c r="E8" t="str">
        <x:v>whole number</x:v>
      </x:c>
    </x:row>
    <x:row r="9">
      <x:c r="B9" s="18" t="str">
        <x:v>Combined Score</x:v>
      </x:c>
      <x:c r="C9" s="27" t="str">
        <x:f>IF(AND(C7="",C8=""),"",IF(C7="",0,C7)*100+IF(C8="",0,C8))</x:f>
      </x:c>
      <x:c r="D9" t="str">
        <x:v>Format</x:v>
      </x:c>
      <x:c r="E9" t="str">
        <x:v>decision-ready score</x:v>
      </x:c>
    </x:row>
    <x:row r="11" ht="28" customHeight="1">
      <x:c r="A11" s="14" t="str">
        <x:v>Category</x:v>
      </x:c>
      <x:c r="B11" s="14" t="str">
        <x:v>Criterion</x:v>
      </x:c>
      <x:c r="C11" s="14" t="str">
        <x:v>Weight</x:v>
      </x:c>
      <x:c r="D11" s="14" t="str">
        <x:v>Direction</x:v>
      </x:c>
      <x:c r="E11" s="14" t="str">
        <x:v>Raw Score (1-5)</x:v>
      </x:c>
      <x:c r="F11" s="14" t="str">
        <x:v>Normalized Score</x:v>
      </x:c>
      <x:c r="G11" s="14" t="str">
        <x:v>Weighted Score</x:v>
      </x:c>
      <x:c r="H11" s="14" t="str">
        <x:v>Comment</x:v>
      </x:c>
      <x:c r="J11" s="14" t="str">
        <x:v>SWOT Area</x:v>
      </x:c>
      <x:c r="K11" s="14" t="str">
        <x:v>Entry</x:v>
      </x:c>
      <x:c r="L11" s="14" t="str">
        <x:v>Rating (-3 to +3)</x:v>
      </x:c>
    </x:row>
    <x:row r="12" ht="24" customHeight="1">
      <x:c r="A12" s="22" t="str">
        <x:f>CRITERIA!A5</x:f>
        <x:v>Strength</x:v>
      </x:c>
      <x:c r="B12" s="22" t="str">
        <x:f>CRITERIA!B5</x:f>
        <x:v>Structural capacity</x:v>
      </x:c>
      <x:c r="C12" s="22" t="n">
        <x:f>CRITERIA!C5</x:f>
        <x:v>0.1</x:v>
      </x:c>
      <x:c r="D12" s="22" t="str">
        <x:f>CRITERIA!D5</x:f>
        <x:v>Higher better</x:v>
      </x:c>
      <x:c r="E12" s="28"/>
      <x:c r="F12" s="22" t="str">
        <x:f>IF(E12="","",IF(D12="Higher better",E12/5,(6-E12)/5))</x:f>
      </x:c>
      <x:c r="G12" s="22" t="str">
        <x:f>IF(F12="","",C12*F12)</x:f>
      </x:c>
      <x:c r="H12" s="22"/>
      <x:c r="J12" s="22" t="str">
        <x:v>Strengths</x:v>
      </x:c>
      <x:c r="K12" s="22" t="str">
        <x:v>Improved transportability versus a single full-width deck</x:v>
      </x:c>
      <x:c r="L12" s="29"/>
    </x:row>
    <x:row r="13" ht="24" customHeight="1">
      <x:c r="A13" s="22" t="str">
        <x:f>CRITERIA!A6</x:f>
        <x:v>Strength</x:v>
      </x:c>
      <x:c r="B13" s="22" t="str">
        <x:f>CRITERIA!B6</x:f>
        <x:v>Stiffness / deflection</x:v>
      </x:c>
      <x:c r="C13" s="22" t="n">
        <x:f>CRITERIA!C6</x:f>
        <x:v>0.08</x:v>
      </x:c>
      <x:c r="D13" s="22" t="str">
        <x:f>CRITERIA!D6</x:f>
        <x:v>Higher better</x:v>
      </x:c>
      <x:c r="E13" s="28"/>
      <x:c r="F13" s="22" t="str">
        <x:f>IF(E13="","",IF(D13="Higher better",E13/5,(6-E13)/5))</x:f>
      </x:c>
      <x:c r="G13" s="22" t="str">
        <x:f>IF(F13="","",C13*F13)</x:f>
      </x:c>
      <x:c r="H13" s="22"/>
      <x:c r="J13" s="22" t="str">
        <x:v>Strengths</x:v>
      </x:c>
      <x:c r="K13" s="22" t="str">
        <x:v>Smaller module weights may reduce crane demand</x:v>
      </x:c>
      <x:c r="L13" s="29"/>
    </x:row>
    <x:row r="14" ht="24" customHeight="1">
      <x:c r="A14" s="22" t="str">
        <x:f>CRITERIA!A7</x:f>
        <x:v>Strength</x:v>
      </x:c>
      <x:c r="B14" s="22" t="str">
        <x:f>CRITERIA!B7</x:f>
        <x:v>Dynamic / vibration performance</x:v>
      </x:c>
      <x:c r="C14" s="22" t="n">
        <x:f>CRITERIA!C7</x:f>
        <x:v>0.05</x:v>
      </x:c>
      <x:c r="D14" s="22" t="str">
        <x:f>CRITERIA!D7</x:f>
        <x:v>Higher better</x:v>
      </x:c>
      <x:c r="E14" s="28"/>
      <x:c r="F14" s="22" t="str">
        <x:f>IF(E14="","",IF(D14="Higher better",E14/5,(6-E14)/5))</x:f>
      </x:c>
      <x:c r="G14" s="22" t="str">
        <x:f>IF(F14="","",C14*F14)</x:f>
      </x:c>
      <x:c r="H14" s="22"/>
      <x:c r="J14" s="22" t="str">
        <x:v>Weaknesses</x:v>
      </x:c>
      <x:c r="K14" s="22" t="str">
        <x:v>Site splice introduces alignment and durability considerations</x:v>
      </x:c>
      <x:c r="L14" s="29"/>
    </x:row>
    <x:row r="15" ht="24" customHeight="1">
      <x:c r="A15" s="22" t="str">
        <x:f>CRITERIA!A8</x:f>
        <x:v>Geometry</x:v>
      </x:c>
      <x:c r="B15" s="22" t="str">
        <x:f>CRITERIA!B8</x:f>
        <x:v>Suitability for 3.5 m walkway/cycle width</x:v>
      </x:c>
      <x:c r="C15" s="22" t="n">
        <x:f>CRITERIA!C8</x:f>
        <x:v>0.05</x:v>
      </x:c>
      <x:c r="D15" s="22" t="str">
        <x:f>CRITERIA!D8</x:f>
        <x:v>Higher better</x:v>
      </x:c>
      <x:c r="E15" s="28"/>
      <x:c r="F15" s="22" t="str">
        <x:f>IF(E15="","",IF(D15="Higher better",E15/5,(6-E15)/5))</x:f>
      </x:c>
      <x:c r="G15" s="22" t="str">
        <x:f>IF(F15="","",C15*F15)</x:f>
      </x:c>
      <x:c r="H15" s="22"/>
      <x:c r="J15" s="22" t="str">
        <x:v>Weaknesses</x:v>
      </x:c>
      <x:c r="K15" s="22" t="str">
        <x:v>Joint performance may affect stiffness and vibration response</x:v>
      </x:c>
      <x:c r="L15" s="29"/>
    </x:row>
    <x:row r="16" ht="24" customHeight="1">
      <x:c r="A16" s="22" t="str">
        <x:f>CRITERIA!A9</x:f>
        <x:v>Transport</x:v>
      </x:c>
      <x:c r="B16" s="22" t="str">
        <x:f>CRITERIA!B9</x:f>
        <x:v>Ease of transport</x:v>
      </x:c>
      <x:c r="C16" s="22" t="n">
        <x:f>CRITERIA!C9</x:f>
        <x:v>0.11</x:v>
      </x:c>
      <x:c r="D16" s="22" t="str">
        <x:f>CRITERIA!D9</x:f>
        <x:v>Higher better</x:v>
      </x:c>
      <x:c r="E16" s="28"/>
      <x:c r="F16" s="22" t="str">
        <x:f>IF(E16="","",IF(D16="Higher better",E16/5,(6-E16)/5))</x:f>
      </x:c>
      <x:c r="G16" s="22" t="str">
        <x:f>IF(F16="","",C16*F16)</x:f>
      </x:c>
      <x:c r="H16" s="22"/>
      <x:c r="J16" s="22" t="str">
        <x:v>Opportunities</x:v>
      </x:c>
      <x:c r="K16" s="22" t="str">
        <x:v>More standard haulage and wider contractor availability</x:v>
      </x:c>
      <x:c r="L16" s="29"/>
    </x:row>
    <x:row r="17" ht="24" customHeight="1">
      <x:c r="A17" s="22" t="str">
        <x:f>CRITERIA!A10</x:f>
        <x:v>Transport</x:v>
      </x:c>
      <x:c r="B17" s="22" t="str">
        <x:f>CRITERIA!B10</x:f>
        <x:v>Need to split for transport</x:v>
      </x:c>
      <x:c r="C17" s="22" t="n">
        <x:f>CRITERIA!C10</x:f>
        <x:v>0.06</x:v>
      </x:c>
      <x:c r="D17" s="22" t="str">
        <x:f>CRITERIA!D10</x:f>
        <x:v>Lower better</x:v>
      </x:c>
      <x:c r="E17" s="28"/>
      <x:c r="F17" s="22" t="str">
        <x:f>IF(E17="","",IF(D17="Higher better",E17/5,(6-E17)/5))</x:f>
      </x:c>
      <x:c r="G17" s="22" t="str">
        <x:f>IF(F17="","",C17*F17)</x:f>
      </x:c>
      <x:c r="H17" s="22"/>
      <x:c r="J17" s="22" t="str">
        <x:v>Opportunities</x:v>
      </x:c>
      <x:c r="K17" s="22" t="str">
        <x:v>Potential to stage installation in tighter access windows</x:v>
      </x:c>
      <x:c r="L17" s="29"/>
    </x:row>
    <x:row r="18" ht="24" customHeight="1">
      <x:c r="A18" s="22" t="str">
        <x:f>CRITERIA!A11</x:f>
        <x:v>Installation</x:v>
      </x:c>
      <x:c r="B18" s="22" t="str">
        <x:f>CRITERIA!B11</x:f>
        <x:v>Ease of installation</x:v>
      </x:c>
      <x:c r="C18" s="22" t="n">
        <x:f>CRITERIA!C11</x:f>
        <x:v>0.1</x:v>
      </x:c>
      <x:c r="D18" s="22" t="str">
        <x:f>CRITERIA!D11</x:f>
        <x:v>Higher better</x:v>
      </x:c>
      <x:c r="E18" s="28"/>
      <x:c r="F18" s="22" t="str">
        <x:f>IF(E18="","",IF(D18="Higher better",E18/5,(6-E18)/5))</x:f>
      </x:c>
      <x:c r="G18" s="22" t="str">
        <x:f>IF(F18="","",C18*F18)</x:f>
      </x:c>
      <x:c r="H18" s="22"/>
      <x:c r="J18" s="22" t="str">
        <x:v>Threats</x:v>
      </x:c>
      <x:c r="K18" s="22" t="str">
        <x:v>Joint workmanship variability could affect service performance</x:v>
      </x:c>
      <x:c r="L18" s="29"/>
    </x:row>
    <x:row r="19" ht="24" customHeight="1">
      <x:c r="A19" s="22" t="str">
        <x:f>CRITERIA!A12</x:f>
        <x:v>Installation</x:v>
      </x:c>
      <x:c r="B19" s="22" t="str">
        <x:f>CRITERIA!B12</x:f>
        <x:v>Crane / lifting demand</x:v>
      </x:c>
      <x:c r="C19" s="22" t="n">
        <x:f>CRITERIA!C12</x:f>
        <x:v>0.07</x:v>
      </x:c>
      <x:c r="D19" s="22" t="str">
        <x:f>CRITERIA!D12</x:f>
        <x:v>Lower better</x:v>
      </x:c>
      <x:c r="E19" s="28"/>
      <x:c r="F19" s="22" t="str">
        <x:f>IF(E19="","",IF(D19="Higher better",E19/5,(6-E19)/5))</x:f>
      </x:c>
      <x:c r="G19" s="22" t="str">
        <x:f>IF(F19="","",C19*F19)</x:f>
      </x:c>
      <x:c r="H19" s="22"/>
      <x:c r="J19" s="22" t="str">
        <x:v>Threats</x:v>
      </x:c>
      <x:c r="K19" s="22" t="str">
        <x:v>Extra installation activities can extend programme</x:v>
      </x:c>
      <x:c r="L19" s="29"/>
    </x:row>
    <x:row r="20">
      <x:c r="A20" s="22" t="str">
        <x:f>CRITERIA!A13</x:f>
        <x:v>Installation</x:v>
      </x:c>
      <x:c r="B20" s="22" t="str">
        <x:f>CRITERIA!B13</x:f>
        <x:v>Risk of site joints / splices</x:v>
      </x:c>
      <x:c r="C20" s="22" t="n">
        <x:f>CRITERIA!C13</x:f>
        <x:v>0.06</x:v>
      </x:c>
      <x:c r="D20" s="22" t="str">
        <x:f>CRITERIA!D13</x:f>
        <x:v>Lower better</x:v>
      </x:c>
      <x:c r="E20" s="28"/>
      <x:c r="F20" s="22" t="str">
        <x:f>IF(E20="","",IF(D20="Higher better",E20/5,(6-E20)/5))</x:f>
      </x:c>
      <x:c r="G20" s="22" t="str">
        <x:f>IF(F20="","",C20*F20)</x:f>
      </x:c>
      <x:c r="H20" s="22"/>
    </x:row>
    <x:row r="21" ht="28" customHeight="1">
      <x:c r="A21" s="22" t="str">
        <x:f>CRITERIA!A14</x:f>
        <x:v>Durability</x:v>
      </x:c>
      <x:c r="B21" s="22" t="str">
        <x:f>CRITERIA!B14</x:f>
        <x:v>Durability / corrosion resistance</x:v>
      </x:c>
      <x:c r="C21" s="22" t="n">
        <x:f>CRITERIA!C14</x:f>
        <x:v>0.07</x:v>
      </x:c>
      <x:c r="D21" s="22" t="str">
        <x:f>CRITERIA!D14</x:f>
        <x:v>Higher better</x:v>
      </x:c>
      <x:c r="E21" s="28"/>
      <x:c r="F21" s="22" t="str">
        <x:f>IF(E21="","",IF(D21="Higher better",E21/5,(6-E21)/5))</x:f>
      </x:c>
      <x:c r="G21" s="22" t="str">
        <x:f>IF(F21="","",C21*F21)</x:f>
      </x:c>
      <x:c r="H21" s="22"/>
      <x:c r="J21" s="14" t="str">
        <x:v>SWOT notes</x:v>
      </x:c>
      <x:c r="K21" s="14" t="str"/>
      <x:c r="L21" s="14" t="str"/>
    </x:row>
    <x:row r="22">
      <x:c r="A22" s="22" t="str">
        <x:f>CRITERIA!A15</x:f>
        <x:v>Maintenance</x:v>
      </x:c>
      <x:c r="B22" s="22" t="str">
        <x:f>CRITERIA!B15</x:f>
        <x:v>Inspection and maintenance access</x:v>
      </x:c>
      <x:c r="C22" s="22" t="n">
        <x:f>CRITERIA!C15</x:f>
        <x:v>0.05</x:v>
      </x:c>
      <x:c r="D22" s="22" t="str">
        <x:f>CRITERIA!D15</x:f>
        <x:v>Higher better</x:v>
      </x:c>
      <x:c r="E22" s="28"/>
      <x:c r="F22" s="22" t="str">
        <x:f>IF(E22="","",IF(D22="Higher better",E22/5,(6-E22)/5))</x:f>
      </x:c>
      <x:c r="G22" s="22" t="str">
        <x:f>IF(F22="","",C22*F22)</x:f>
      </x:c>
      <x:c r="H22" s="22"/>
      <x:c r="J22" s="21" t="str">
        <x:v>Positive values for strengths and opportunities.</x:v>
      </x:c>
      <x:c r="K22" s="21" t="str"/>
      <x:c r="L22" s="21" t="str"/>
    </x:row>
    <x:row r="23">
      <x:c r="A23" s="22" t="str">
        <x:f>CRITERIA!A16</x:f>
        <x:v>Cost</x:v>
      </x:c>
      <x:c r="B23" s="22" t="str">
        <x:f>CRITERIA!B16</x:f>
        <x:v>Fabrication cost</x:v>
      </x:c>
      <x:c r="C23" s="22" t="n">
        <x:f>CRITERIA!C16</x:f>
        <x:v>0.06</x:v>
      </x:c>
      <x:c r="D23" s="22" t="str">
        <x:f>CRITERIA!D16</x:f>
        <x:v>Lower better</x:v>
      </x:c>
      <x:c r="E23" s="28"/>
      <x:c r="F23" s="22" t="str">
        <x:f>IF(E23="","",IF(D23="Higher better",E23/5,(6-E23)/5))</x:f>
      </x:c>
      <x:c r="G23" s="22" t="str">
        <x:f>IF(F23="","",C23*F23)</x:f>
      </x:c>
      <x:c r="H23" s="22"/>
      <x:c r="J23" s="21" t="str">
        <x:v>Negative values for weaknesses and threats.</x:v>
      </x:c>
      <x:c r="K23" s="21" t="str"/>
      <x:c r="L23" s="21" t="str"/>
    </x:row>
    <x:row r="24">
      <x:c r="A24" s="22" t="str">
        <x:f>CRITERIA!A17</x:f>
        <x:v>Cost</x:v>
      </x:c>
      <x:c r="B24" s="22" t="str">
        <x:f>CRITERIA!B17</x:f>
        <x:v>Transport cost</x:v>
      </x:c>
      <x:c r="C24" s="22" t="n">
        <x:f>CRITERIA!C17</x:f>
        <x:v>0.04</x:v>
      </x:c>
      <x:c r="D24" s="22" t="str">
        <x:f>CRITERIA!D17</x:f>
        <x:v>Lower better</x:v>
      </x:c>
      <x:c r="E24" s="28"/>
      <x:c r="F24" s="22" t="str">
        <x:f>IF(E24="","",IF(D24="Higher better",E24/5,(6-E24)/5))</x:f>
      </x:c>
      <x:c r="G24" s="22" t="str">
        <x:f>IF(F24="","",C24*F24)</x:f>
      </x:c>
      <x:c r="H24" s="22"/>
      <x:c r="J24" s="21" t="str">
        <x:v>Use column H to capture engineering judgement or assumptions.</x:v>
      </x:c>
      <x:c r="K24" s="21" t="str"/>
      <x:c r="L24" s="21" t="str"/>
    </x:row>
    <x:row r="25">
      <x:c r="A25" s="22" t="str">
        <x:f>CRITERIA!A18</x:f>
        <x:v>Cost</x:v>
      </x:c>
      <x:c r="B25" s="22" t="str">
        <x:f>CRITERIA!B18</x:f>
        <x:v>Installation cost</x:v>
      </x:c>
      <x:c r="C25" s="22" t="n">
        <x:f>CRITERIA!C18</x:f>
        <x:v>0.04</x:v>
      </x:c>
      <x:c r="D25" s="22" t="str">
        <x:f>CRITERIA!D18</x:f>
        <x:v>Lower better</x:v>
      </x:c>
      <x:c r="E25" s="28"/>
      <x:c r="F25" s="22" t="str">
        <x:f>IF(E25="","",IF(D25="Higher better",E25/5,(6-E25)/5))</x:f>
      </x:c>
      <x:c r="G25" s="22" t="str">
        <x:f>IF(F25="","",C25*F25)</x:f>
      </x:c>
      <x:c r="H25" s="22"/>
      <x:c r="J25" s="21" t="str">
        <x:v>Duplicate this sheet for extra options if needed.</x:v>
      </x:c>
      <x:c r="K25" s="21" t="str"/>
      <x:c r="L25" s="21" t="str"/>
    </x:row>
    <x:row r="26">
      <x:c r="A26" s="22" t="str">
        <x:f>CRITERIA!A19</x:f>
        <x:v>Risk</x:v>
      </x:c>
      <x:c r="B26" s="22" t="str">
        <x:f>CRITERIA!B19</x:f>
        <x:v>Programme / delivery risk</x:v>
      </x:c>
      <x:c r="C26" s="22" t="n">
        <x:f>CRITERIA!C19</x:f>
        <x:v>0.03</x:v>
      </x:c>
      <x:c r="D26" s="22" t="str">
        <x:f>CRITERIA!D19</x:f>
        <x:v>Lower better</x:v>
      </x:c>
      <x:c r="E26" s="28"/>
      <x:c r="F26" s="22" t="str">
        <x:f>IF(E26="","",IF(D26="Higher better",E26/5,(6-E26)/5))</x:f>
      </x:c>
      <x:c r="G26" s="22" t="str">
        <x:f>IF(F26="","",C26*F26)</x:f>
      </x:c>
      <x:c r="H26" s="22"/>
    </x:row>
    <x:row r="27">
      <x:c r="A27" s="22" t="str">
        <x:f>CRITERIA!A20</x:f>
        <x:v>Risk</x:v>
      </x:c>
      <x:c r="B27" s="22" t="str">
        <x:f>CRITERIA!B20</x:f>
        <x:v>Design complexity</x:v>
      </x:c>
      <x:c r="C27" s="22" t="n">
        <x:f>CRITERIA!C20</x:f>
        <x:v>0.03</x:v>
      </x:c>
      <x:c r="D27" s="22" t="str">
        <x:f>CRITERIA!D20</x:f>
        <x:v>Lower better</x:v>
      </x:c>
      <x:c r="E27" s="28"/>
      <x:c r="F27" s="22" t="str">
        <x:f>IF(E27="","",IF(D27="Higher better",E27/5,(6-E27)/5))</x:f>
      </x:c>
      <x:c r="G27" s="22" t="str">
        <x:f>IF(F27="","",C27*F27)</x:f>
      </x:c>
      <x:c r="H27" s="22"/>
    </x:row>
    <x:row r="29">
      <x:c r="E29" s="18" t="str">
        <x:v>Total weighted score</x:v>
      </x:c>
      <x:c r="F29" s="18" t="str">
        <x:v>Total weighted score</x:v>
      </x:c>
      <x:c r="G29" s="19" t="str">
        <x:f>IF(COUNT(E12:E27)=0,"",SUM(G12:G27))</x:f>
      </x:c>
    </x:row>
    <x:row r="31" ht="28" customHeight="1">
      <x:c r="A31" s="14" t="str">
        <x:v>Score guide</x:v>
      </x:c>
      <x:c r="B31" s="14" t="str"/>
      <x:c r="C31" s="14" t="str"/>
      <x:c r="D31" s="14" t="str"/>
      <x:c r="E31" s="14" t="str"/>
    </x:row>
    <x:row r="32">
      <x:c r="A32" s="21" t="n">
        <x:v>1</x:v>
      </x:c>
      <x:c r="B32" s="21" t="str">
        <x:v>Very poor</x:v>
      </x:c>
      <x:c r="C32" s="21" t="str"/>
      <x:c r="D32" s="21" t="str"/>
      <x:c r="E32" s="21" t="str">
        <x:v>Use for severe drawback / likely showstopper</x:v>
      </x:c>
    </x:row>
    <x:row r="33">
      <x:c r="A33" s="21" t="n">
        <x:v>2</x:v>
      </x:c>
      <x:c r="B33" s="21" t="str">
        <x:v>Poor</x:v>
      </x:c>
      <x:c r="C33" s="21" t="str"/>
      <x:c r="D33" s="21" t="str"/>
      <x:c r="E33" s="21" t="str">
        <x:v>Below preferred standard with notable issue</x:v>
      </x:c>
    </x:row>
    <x:row r="34">
      <x:c r="A34" s="21" t="n">
        <x:v>3</x:v>
      </x:c>
      <x:c r="B34" s="21" t="str">
        <x:v>Acceptable</x:v>
      </x:c>
      <x:c r="C34" s="21" t="str"/>
      <x:c r="D34" s="21" t="str"/>
      <x:c r="E34" s="21" t="str">
        <x:v>Meets minimum acceptable requirement</x:v>
      </x:c>
    </x:row>
    <x:row r="35">
      <x:c r="A35" s="21" t="n">
        <x:v>4</x:v>
      </x:c>
      <x:c r="B35" s="21" t="str">
        <x:v>Good</x:v>
      </x:c>
      <x:c r="C35" s="21" t="str"/>
      <x:c r="D35" s="21" t="str"/>
      <x:c r="E35" s="21" t="str">
        <x:v>Strong performance with manageable issues</x:v>
      </x:c>
    </x:row>
    <x:row r="36">
      <x:c r="A36" s="21" t="n">
        <x:v>5</x:v>
      </x:c>
      <x:c r="B36" s="21" t="str">
        <x:v>Excellent</x:v>
      </x:c>
      <x:c r="C36" s="21" t="str"/>
      <x:c r="D36" s="21" t="str"/>
      <x:c r="E36" s="21" t="str">
        <x:v>Best-in-class / highly favourable outcome</x:v>
      </x:c>
    </x:row>
  </x:sheetData>
  <x:mergeCells>
    <x:mergeCell ref="A1:L1"/>
    <x:mergeCell ref="A2:L2"/>
    <x:mergeCell ref="C4:H4"/>
    <x:mergeCell ref="C5:H5"/>
    <x:mergeCell ref="C6:H6"/>
    <x:mergeCell ref="E29:F29"/>
  </x:mergeCells>
  <x:conditionalFormatting sqref="G12:G27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E12:E27">
    <x:cfRule type="dataBar" priority="2">
      <x:dataBar>
        <x:cfvo type="min"/>
        <x:cfvo type="max"/>
        <x:color rgb="F59E0B"/>
      </x:dataBar>
    </x:cfRule>
  </x:conditionalFormatting>
  <x:dataValidations count="2">
    <x:dataValidation type="list" sqref="E12:E27">
      <x:formula1>"1,2,3,4,5"</x:formula1>
    </x:dataValidation>
    <x:dataValidation type="list" sqref="L12:L19">
      <x:formula1>"-3,-2,-1,0,1,2,3"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0" hidden="0" customWidth="1"/>
    <x:col min="3" max="3" width="10" hidden="0" customWidth="1"/>
    <x:col min="4" max="4" width="15" hidden="0" customWidth="1"/>
    <x:col min="5" max="5" width="12" hidden="0" customWidth="1"/>
    <x:col min="6" max="6" width="13" hidden="0" customWidth="1"/>
    <x:col min="7" max="7" width="13" hidden="0" customWidth="1"/>
    <x:col min="8" max="8" width="32" hidden="0" customWidth="1"/>
    <x:col min="10" max="10" width="15" hidden="0" customWidth="1"/>
    <x:col min="11" max="11" width="48" hidden="0" customWidth="1"/>
    <x:col min="12" max="12" width="12" hidden="0" customWidth="1"/>
  </x:cols>
  <x:sheetData>
    <x:row r="1" ht="24" customHeight="1">
      <x:c r="A1" s="4" t="str">
        <x:v>Option assessment template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9" t="str">
        <x:v>Enter raw scores in column E and SWOT ratings in column L. The model normalizes lower-better criteria automatically.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4">
      <x:c r="B4" s="18" t="str">
        <x:v>Option Name</x:v>
      </x:c>
      <x:c r="C4" t="str">
        <x:v>3-piece modular split</x:v>
      </x:c>
    </x:row>
    <x:row r="5">
      <x:c r="B5" s="18" t="str">
        <x:v>Description</x:v>
      </x:c>
      <x:c r="C5" t="str">
        <x:v>Three FRP modules assembled on site to form the 3.5 m walkway/cycle bridge</x:v>
      </x:c>
    </x:row>
    <x:row r="6">
      <x:c r="B6" s="18" t="str">
        <x:v>Key Assumption</x:v>
      </x:c>
      <x:c r="C6" t="str">
        <x:v>Additional joints are acceptable if transport constraints dominate the decision</x:v>
      </x:c>
    </x:row>
    <x:row r="7">
      <x:c r="B7" s="18" t="str">
        <x:v>Overall Weighted Score</x:v>
      </x:c>
      <x:c r="C7" s="27" t="str">
        <x:f>IF(COUNT(E12:E27)=0,"",SUM(G12:G27))</x:f>
      </x:c>
      <x:c r="D7" t="str">
        <x:v>Format</x:v>
      </x:c>
      <x:c r="E7" t="str">
        <x:v>0.000</x:v>
      </x:c>
    </x:row>
    <x:row r="8">
      <x:c r="B8" s="18" t="str">
        <x:v>SWOT Net Score</x:v>
      </x:c>
      <x:c r="C8" s="27" t="str">
        <x:f>IF(COUNT(L12:L19)=0,"",SUM(L12:L19))</x:f>
      </x:c>
      <x:c r="D8" t="str">
        <x:v>Format</x:v>
      </x:c>
      <x:c r="E8" t="str">
        <x:v>whole number</x:v>
      </x:c>
    </x:row>
    <x:row r="9">
      <x:c r="B9" s="18" t="str">
        <x:v>Combined Score</x:v>
      </x:c>
      <x:c r="C9" s="27" t="str">
        <x:f>IF(AND(C7="",C8=""),"",IF(C7="",0,C7)*100+IF(C8="",0,C8))</x:f>
      </x:c>
      <x:c r="D9" t="str">
        <x:v>Format</x:v>
      </x:c>
      <x:c r="E9" t="str">
        <x:v>decision-ready score</x:v>
      </x:c>
    </x:row>
    <x:row r="11" ht="28" customHeight="1">
      <x:c r="A11" s="14" t="str">
        <x:v>Category</x:v>
      </x:c>
      <x:c r="B11" s="14" t="str">
        <x:v>Criterion</x:v>
      </x:c>
      <x:c r="C11" s="14" t="str">
        <x:v>Weight</x:v>
      </x:c>
      <x:c r="D11" s="14" t="str">
        <x:v>Direction</x:v>
      </x:c>
      <x:c r="E11" s="14" t="str">
        <x:v>Raw Score (1-5)</x:v>
      </x:c>
      <x:c r="F11" s="14" t="str">
        <x:v>Normalized Score</x:v>
      </x:c>
      <x:c r="G11" s="14" t="str">
        <x:v>Weighted Score</x:v>
      </x:c>
      <x:c r="H11" s="14" t="str">
        <x:v>Comment</x:v>
      </x:c>
      <x:c r="J11" s="14" t="str">
        <x:v>SWOT Area</x:v>
      </x:c>
      <x:c r="K11" s="14" t="str">
        <x:v>Entry</x:v>
      </x:c>
      <x:c r="L11" s="14" t="str">
        <x:v>Rating (-3 to +3)</x:v>
      </x:c>
    </x:row>
    <x:row r="12" ht="24" customHeight="1">
      <x:c r="A12" s="22" t="str">
        <x:f>CRITERIA!A5</x:f>
        <x:v>Strength</x:v>
      </x:c>
      <x:c r="B12" s="22" t="str">
        <x:f>CRITERIA!B5</x:f>
        <x:v>Structural capacity</x:v>
      </x:c>
      <x:c r="C12" s="22" t="n">
        <x:f>CRITERIA!C5</x:f>
        <x:v>0.1</x:v>
      </x:c>
      <x:c r="D12" s="22" t="str">
        <x:f>CRITERIA!D5</x:f>
        <x:v>Higher better</x:v>
      </x:c>
      <x:c r="E12" s="28"/>
      <x:c r="F12" s="22" t="str">
        <x:f>IF(E12="","",IF(D12="Higher better",E12/5,(6-E12)/5))</x:f>
      </x:c>
      <x:c r="G12" s="22" t="str">
        <x:f>IF(F12="","",C12*F12)</x:f>
      </x:c>
      <x:c r="H12" s="22"/>
      <x:c r="J12" s="22" t="str">
        <x:v>Strengths</x:v>
      </x:c>
      <x:c r="K12" s="22" t="str">
        <x:v>Best transport flexibility and lowest module size</x:v>
      </x:c>
      <x:c r="L12" s="29"/>
    </x:row>
    <x:row r="13" ht="24" customHeight="1">
      <x:c r="A13" s="22" t="str">
        <x:f>CRITERIA!A6</x:f>
        <x:v>Strength</x:v>
      </x:c>
      <x:c r="B13" s="22" t="str">
        <x:f>CRITERIA!B6</x:f>
        <x:v>Stiffness / deflection</x:v>
      </x:c>
      <x:c r="C13" s="22" t="n">
        <x:f>CRITERIA!C6</x:f>
        <x:v>0.08</x:v>
      </x:c>
      <x:c r="D13" s="22" t="str">
        <x:f>CRITERIA!D6</x:f>
        <x:v>Higher better</x:v>
      </x:c>
      <x:c r="E13" s="28"/>
      <x:c r="F13" s="22" t="str">
        <x:f>IF(E13="","",IF(D13="Higher better",E13/5,(6-E13)/5))</x:f>
      </x:c>
      <x:c r="G13" s="22" t="str">
        <x:f>IF(F13="","",C13*F13)</x:f>
      </x:c>
      <x:c r="H13" s="22"/>
      <x:c r="J13" s="22" t="str">
        <x:v>Strengths</x:v>
      </x:c>
      <x:c r="K13" s="22" t="str">
        <x:v>Reduced abnormal load issues and easier site handling</x:v>
      </x:c>
      <x:c r="L13" s="29"/>
    </x:row>
    <x:row r="14" ht="24" customHeight="1">
      <x:c r="A14" s="22" t="str">
        <x:f>CRITERIA!A7</x:f>
        <x:v>Strength</x:v>
      </x:c>
      <x:c r="B14" s="22" t="str">
        <x:f>CRITERIA!B7</x:f>
        <x:v>Dynamic / vibration performance</x:v>
      </x:c>
      <x:c r="C14" s="22" t="n">
        <x:f>CRITERIA!C7</x:f>
        <x:v>0.05</x:v>
      </x:c>
      <x:c r="D14" s="22" t="str">
        <x:f>CRITERIA!D7</x:f>
        <x:v>Higher better</x:v>
      </x:c>
      <x:c r="E14" s="28"/>
      <x:c r="F14" s="22" t="str">
        <x:f>IF(E14="","",IF(D14="Higher better",E14/5,(6-E14)/5))</x:f>
      </x:c>
      <x:c r="G14" s="22" t="str">
        <x:f>IF(F14="","",C14*F14)</x:f>
      </x:c>
      <x:c r="H14" s="22"/>
      <x:c r="J14" s="22" t="str">
        <x:v>Weaknesses</x:v>
      </x:c>
      <x:c r="K14" s="22" t="str">
        <x:v>Most joints/splices and highest assembly complexity</x:v>
      </x:c>
      <x:c r="L14" s="29"/>
    </x:row>
    <x:row r="15" ht="24" customHeight="1">
      <x:c r="A15" s="22" t="str">
        <x:f>CRITERIA!A8</x:f>
        <x:v>Geometry</x:v>
      </x:c>
      <x:c r="B15" s="22" t="str">
        <x:f>CRITERIA!B8</x:f>
        <x:v>Suitability for 3.5 m walkway/cycle width</x:v>
      </x:c>
      <x:c r="C15" s="22" t="n">
        <x:f>CRITERIA!C8</x:f>
        <x:v>0.05</x:v>
      </x:c>
      <x:c r="D15" s="22" t="str">
        <x:f>CRITERIA!D8</x:f>
        <x:v>Higher better</x:v>
      </x:c>
      <x:c r="E15" s="28"/>
      <x:c r="F15" s="22" t="str">
        <x:f>IF(E15="","",IF(D15="Higher better",E15/5,(6-E15)/5))</x:f>
      </x:c>
      <x:c r="G15" s="22" t="str">
        <x:f>IF(F15="","",C15*F15)</x:f>
      </x:c>
      <x:c r="H15" s="22"/>
      <x:c r="J15" s="22" t="str">
        <x:v>Weaknesses</x:v>
      </x:c>
      <x:c r="K15" s="22" t="str">
        <x:v>May require more tolerance management and QA checks</x:v>
      </x:c>
      <x:c r="L15" s="29"/>
    </x:row>
    <x:row r="16" ht="24" customHeight="1">
      <x:c r="A16" s="22" t="str">
        <x:f>CRITERIA!A9</x:f>
        <x:v>Transport</x:v>
      </x:c>
      <x:c r="B16" s="22" t="str">
        <x:f>CRITERIA!B9</x:f>
        <x:v>Ease of transport</x:v>
      </x:c>
      <x:c r="C16" s="22" t="n">
        <x:f>CRITERIA!C9</x:f>
        <x:v>0.11</x:v>
      </x:c>
      <x:c r="D16" s="22" t="str">
        <x:f>CRITERIA!D9</x:f>
        <x:v>Higher better</x:v>
      </x:c>
      <x:c r="E16" s="28"/>
      <x:c r="F16" s="22" t="str">
        <x:f>IF(E16="","",IF(D16="Higher better",E16/5,(6-E16)/5))</x:f>
      </x:c>
      <x:c r="G16" s="22" t="str">
        <x:f>IF(F16="","",C16*F16)</x:f>
      </x:c>
      <x:c r="H16" s="22"/>
      <x:c r="J16" s="22" t="str">
        <x:v>Opportunities</x:v>
      </x:c>
      <x:c r="K16" s="22" t="str">
        <x:v>Useful where access, route geometry or plant limits are severe</x:v>
      </x:c>
      <x:c r="L16" s="29"/>
    </x:row>
    <x:row r="17" ht="24" customHeight="1">
      <x:c r="A17" s="22" t="str">
        <x:f>CRITERIA!A10</x:f>
        <x:v>Transport</x:v>
      </x:c>
      <x:c r="B17" s="22" t="str">
        <x:f>CRITERIA!B10</x:f>
        <x:v>Need to split for transport</x:v>
      </x:c>
      <x:c r="C17" s="22" t="n">
        <x:f>CRITERIA!C10</x:f>
        <x:v>0.06</x:v>
      </x:c>
      <x:c r="D17" s="22" t="str">
        <x:f>CRITERIA!D10</x:f>
        <x:v>Lower better</x:v>
      </x:c>
      <x:c r="E17" s="28"/>
      <x:c r="F17" s="22" t="str">
        <x:f>IF(E17="","",IF(D17="Higher better",E17/5,(6-E17)/5))</x:f>
      </x:c>
      <x:c r="G17" s="22" t="str">
        <x:f>IF(F17="","",C17*F17)</x:f>
      </x:c>
      <x:c r="H17" s="22"/>
      <x:c r="J17" s="22" t="str">
        <x:v>Opportunities</x:v>
      </x:c>
      <x:c r="K17" s="22" t="str">
        <x:v>Potential for phased replacement or modular maintenance</x:v>
      </x:c>
      <x:c r="L17" s="29"/>
    </x:row>
    <x:row r="18" ht="24" customHeight="1">
      <x:c r="A18" s="22" t="str">
        <x:f>CRITERIA!A11</x:f>
        <x:v>Installation</x:v>
      </x:c>
      <x:c r="B18" s="22" t="str">
        <x:f>CRITERIA!B11</x:f>
        <x:v>Ease of installation</x:v>
      </x:c>
      <x:c r="C18" s="22" t="n">
        <x:f>CRITERIA!C11</x:f>
        <x:v>0.1</x:v>
      </x:c>
      <x:c r="D18" s="22" t="str">
        <x:f>CRITERIA!D11</x:f>
        <x:v>Higher better</x:v>
      </x:c>
      <x:c r="E18" s="28"/>
      <x:c r="F18" s="22" t="str">
        <x:f>IF(E18="","",IF(D18="Higher better",E18/5,(6-E18)/5))</x:f>
      </x:c>
      <x:c r="G18" s="22" t="str">
        <x:f>IF(F18="","",C18*F18)</x:f>
      </x:c>
      <x:c r="H18" s="22"/>
      <x:c r="J18" s="22" t="str">
        <x:v>Threats</x:v>
      </x:c>
      <x:c r="K18" s="22" t="str">
        <x:v>Joint-related vibration, durability or leakage risks may increase</x:v>
      </x:c>
      <x:c r="L18" s="29"/>
    </x:row>
    <x:row r="19" ht="24" customHeight="1">
      <x:c r="A19" s="22" t="str">
        <x:f>CRITERIA!A12</x:f>
        <x:v>Installation</x:v>
      </x:c>
      <x:c r="B19" s="22" t="str">
        <x:f>CRITERIA!B12</x:f>
        <x:v>Crane / lifting demand</x:v>
      </x:c>
      <x:c r="C19" s="22" t="n">
        <x:f>CRITERIA!C12</x:f>
        <x:v>0.07</x:v>
      </x:c>
      <x:c r="D19" s="22" t="str">
        <x:f>CRITERIA!D12</x:f>
        <x:v>Lower better</x:v>
      </x:c>
      <x:c r="E19" s="28"/>
      <x:c r="F19" s="22" t="str">
        <x:f>IF(E19="","",IF(D19="Higher better",E19/5,(6-E19)/5))</x:f>
      </x:c>
      <x:c r="G19" s="22" t="str">
        <x:f>IF(F19="","",C19*F19)</x:f>
      </x:c>
      <x:c r="H19" s="22"/>
      <x:c r="J19" s="22" t="str">
        <x:v>Threats</x:v>
      </x:c>
      <x:c r="K19" s="22" t="str">
        <x:v>Programme can slip if fit-up between modules is difficult</x:v>
      </x:c>
      <x:c r="L19" s="29"/>
    </x:row>
    <x:row r="20">
      <x:c r="A20" s="22" t="str">
        <x:f>CRITERIA!A13</x:f>
        <x:v>Installation</x:v>
      </x:c>
      <x:c r="B20" s="22" t="str">
        <x:f>CRITERIA!B13</x:f>
        <x:v>Risk of site joints / splices</x:v>
      </x:c>
      <x:c r="C20" s="22" t="n">
        <x:f>CRITERIA!C13</x:f>
        <x:v>0.06</x:v>
      </x:c>
      <x:c r="D20" s="22" t="str">
        <x:f>CRITERIA!D13</x:f>
        <x:v>Lower better</x:v>
      </x:c>
      <x:c r="E20" s="28"/>
      <x:c r="F20" s="22" t="str">
        <x:f>IF(E20="","",IF(D20="Higher better",E20/5,(6-E20)/5))</x:f>
      </x:c>
      <x:c r="G20" s="22" t="str">
        <x:f>IF(F20="","",C20*F20)</x:f>
      </x:c>
      <x:c r="H20" s="22"/>
    </x:row>
    <x:row r="21" ht="28" customHeight="1">
      <x:c r="A21" s="22" t="str">
        <x:f>CRITERIA!A14</x:f>
        <x:v>Durability</x:v>
      </x:c>
      <x:c r="B21" s="22" t="str">
        <x:f>CRITERIA!B14</x:f>
        <x:v>Durability / corrosion resistance</x:v>
      </x:c>
      <x:c r="C21" s="22" t="n">
        <x:f>CRITERIA!C14</x:f>
        <x:v>0.07</x:v>
      </x:c>
      <x:c r="D21" s="22" t="str">
        <x:f>CRITERIA!D14</x:f>
        <x:v>Higher better</x:v>
      </x:c>
      <x:c r="E21" s="28"/>
      <x:c r="F21" s="22" t="str">
        <x:f>IF(E21="","",IF(D21="Higher better",E21/5,(6-E21)/5))</x:f>
      </x:c>
      <x:c r="G21" s="22" t="str">
        <x:f>IF(F21="","",C21*F21)</x:f>
      </x:c>
      <x:c r="H21" s="22"/>
      <x:c r="J21" s="14" t="str">
        <x:v>SWOT notes</x:v>
      </x:c>
      <x:c r="K21" s="14" t="str"/>
      <x:c r="L21" s="14" t="str"/>
    </x:row>
    <x:row r="22">
      <x:c r="A22" s="22" t="str">
        <x:f>CRITERIA!A15</x:f>
        <x:v>Maintenance</x:v>
      </x:c>
      <x:c r="B22" s="22" t="str">
        <x:f>CRITERIA!B15</x:f>
        <x:v>Inspection and maintenance access</x:v>
      </x:c>
      <x:c r="C22" s="22" t="n">
        <x:f>CRITERIA!C15</x:f>
        <x:v>0.05</x:v>
      </x:c>
      <x:c r="D22" s="22" t="str">
        <x:f>CRITERIA!D15</x:f>
        <x:v>Higher better</x:v>
      </x:c>
      <x:c r="E22" s="28"/>
      <x:c r="F22" s="22" t="str">
        <x:f>IF(E22="","",IF(D22="Higher better",E22/5,(6-E22)/5))</x:f>
      </x:c>
      <x:c r="G22" s="22" t="str">
        <x:f>IF(F22="","",C22*F22)</x:f>
      </x:c>
      <x:c r="H22" s="22"/>
      <x:c r="J22" s="21" t="str">
        <x:v>Positive values for strengths and opportunities.</x:v>
      </x:c>
      <x:c r="K22" s="21" t="str"/>
      <x:c r="L22" s="21" t="str"/>
    </x:row>
    <x:row r="23">
      <x:c r="A23" s="22" t="str">
        <x:f>CRITERIA!A16</x:f>
        <x:v>Cost</x:v>
      </x:c>
      <x:c r="B23" s="22" t="str">
        <x:f>CRITERIA!B16</x:f>
        <x:v>Fabrication cost</x:v>
      </x:c>
      <x:c r="C23" s="22" t="n">
        <x:f>CRITERIA!C16</x:f>
        <x:v>0.06</x:v>
      </x:c>
      <x:c r="D23" s="22" t="str">
        <x:f>CRITERIA!D16</x:f>
        <x:v>Lower better</x:v>
      </x:c>
      <x:c r="E23" s="28"/>
      <x:c r="F23" s="22" t="str">
        <x:f>IF(E23="","",IF(D23="Higher better",E23/5,(6-E23)/5))</x:f>
      </x:c>
      <x:c r="G23" s="22" t="str">
        <x:f>IF(F23="","",C23*F23)</x:f>
      </x:c>
      <x:c r="H23" s="22"/>
      <x:c r="J23" s="21" t="str">
        <x:v>Negative values for weaknesses and threats.</x:v>
      </x:c>
      <x:c r="K23" s="21" t="str"/>
      <x:c r="L23" s="21" t="str"/>
    </x:row>
    <x:row r="24">
      <x:c r="A24" s="22" t="str">
        <x:f>CRITERIA!A17</x:f>
        <x:v>Cost</x:v>
      </x:c>
      <x:c r="B24" s="22" t="str">
        <x:f>CRITERIA!B17</x:f>
        <x:v>Transport cost</x:v>
      </x:c>
      <x:c r="C24" s="22" t="n">
        <x:f>CRITERIA!C17</x:f>
        <x:v>0.04</x:v>
      </x:c>
      <x:c r="D24" s="22" t="str">
        <x:f>CRITERIA!D17</x:f>
        <x:v>Lower better</x:v>
      </x:c>
      <x:c r="E24" s="28"/>
      <x:c r="F24" s="22" t="str">
        <x:f>IF(E24="","",IF(D24="Higher better",E24/5,(6-E24)/5))</x:f>
      </x:c>
      <x:c r="G24" s="22" t="str">
        <x:f>IF(F24="","",C24*F24)</x:f>
      </x:c>
      <x:c r="H24" s="22"/>
      <x:c r="J24" s="21" t="str">
        <x:v>Use column H to capture engineering judgement or assumptions.</x:v>
      </x:c>
      <x:c r="K24" s="21" t="str"/>
      <x:c r="L24" s="21" t="str"/>
    </x:row>
    <x:row r="25">
      <x:c r="A25" s="22" t="str">
        <x:f>CRITERIA!A18</x:f>
        <x:v>Cost</x:v>
      </x:c>
      <x:c r="B25" s="22" t="str">
        <x:f>CRITERIA!B18</x:f>
        <x:v>Installation cost</x:v>
      </x:c>
      <x:c r="C25" s="22" t="n">
        <x:f>CRITERIA!C18</x:f>
        <x:v>0.04</x:v>
      </x:c>
      <x:c r="D25" s="22" t="str">
        <x:f>CRITERIA!D18</x:f>
        <x:v>Lower better</x:v>
      </x:c>
      <x:c r="E25" s="28"/>
      <x:c r="F25" s="22" t="str">
        <x:f>IF(E25="","",IF(D25="Higher better",E25/5,(6-E25)/5))</x:f>
      </x:c>
      <x:c r="G25" s="22" t="str">
        <x:f>IF(F25="","",C25*F25)</x:f>
      </x:c>
      <x:c r="H25" s="22"/>
      <x:c r="J25" s="21" t="str">
        <x:v>Duplicate this sheet for extra options if needed.</x:v>
      </x:c>
      <x:c r="K25" s="21" t="str"/>
      <x:c r="L25" s="21" t="str"/>
    </x:row>
    <x:row r="26">
      <x:c r="A26" s="22" t="str">
        <x:f>CRITERIA!A19</x:f>
        <x:v>Risk</x:v>
      </x:c>
      <x:c r="B26" s="22" t="str">
        <x:f>CRITERIA!B19</x:f>
        <x:v>Programme / delivery risk</x:v>
      </x:c>
      <x:c r="C26" s="22" t="n">
        <x:f>CRITERIA!C19</x:f>
        <x:v>0.03</x:v>
      </x:c>
      <x:c r="D26" s="22" t="str">
        <x:f>CRITERIA!D19</x:f>
        <x:v>Lower better</x:v>
      </x:c>
      <x:c r="E26" s="28"/>
      <x:c r="F26" s="22" t="str">
        <x:f>IF(E26="","",IF(D26="Higher better",E26/5,(6-E26)/5))</x:f>
      </x:c>
      <x:c r="G26" s="22" t="str">
        <x:f>IF(F26="","",C26*F26)</x:f>
      </x:c>
      <x:c r="H26" s="22"/>
    </x:row>
    <x:row r="27">
      <x:c r="A27" s="22" t="str">
        <x:f>CRITERIA!A20</x:f>
        <x:v>Risk</x:v>
      </x:c>
      <x:c r="B27" s="22" t="str">
        <x:f>CRITERIA!B20</x:f>
        <x:v>Design complexity</x:v>
      </x:c>
      <x:c r="C27" s="22" t="n">
        <x:f>CRITERIA!C20</x:f>
        <x:v>0.03</x:v>
      </x:c>
      <x:c r="D27" s="22" t="str">
        <x:f>CRITERIA!D20</x:f>
        <x:v>Lower better</x:v>
      </x:c>
      <x:c r="E27" s="28"/>
      <x:c r="F27" s="22" t="str">
        <x:f>IF(E27="","",IF(D27="Higher better",E27/5,(6-E27)/5))</x:f>
      </x:c>
      <x:c r="G27" s="22" t="str">
        <x:f>IF(F27="","",C27*F27)</x:f>
      </x:c>
      <x:c r="H27" s="22"/>
    </x:row>
    <x:row r="29">
      <x:c r="E29" s="18" t="str">
        <x:v>Total weighted score</x:v>
      </x:c>
      <x:c r="F29" s="18" t="str">
        <x:v>Total weighted score</x:v>
      </x:c>
      <x:c r="G29" s="19" t="str">
        <x:f>IF(COUNT(E12:E27)=0,"",SUM(G12:G27))</x:f>
      </x:c>
    </x:row>
    <x:row r="31" ht="28" customHeight="1">
      <x:c r="A31" s="14" t="str">
        <x:v>Score guide</x:v>
      </x:c>
      <x:c r="B31" s="14" t="str"/>
      <x:c r="C31" s="14" t="str"/>
      <x:c r="D31" s="14" t="str"/>
      <x:c r="E31" s="14" t="str"/>
    </x:row>
    <x:row r="32">
      <x:c r="A32" s="21" t="n">
        <x:v>1</x:v>
      </x:c>
      <x:c r="B32" s="21" t="str">
        <x:v>Very poor</x:v>
      </x:c>
      <x:c r="C32" s="21" t="str"/>
      <x:c r="D32" s="21" t="str"/>
      <x:c r="E32" s="21" t="str">
        <x:v>Use for severe drawback / likely showstopper</x:v>
      </x:c>
    </x:row>
    <x:row r="33">
      <x:c r="A33" s="21" t="n">
        <x:v>2</x:v>
      </x:c>
      <x:c r="B33" s="21" t="str">
        <x:v>Poor</x:v>
      </x:c>
      <x:c r="C33" s="21" t="str"/>
      <x:c r="D33" s="21" t="str"/>
      <x:c r="E33" s="21" t="str">
        <x:v>Below preferred standard with notable issue</x:v>
      </x:c>
    </x:row>
    <x:row r="34">
      <x:c r="A34" s="21" t="n">
        <x:v>3</x:v>
      </x:c>
      <x:c r="B34" s="21" t="str">
        <x:v>Acceptable</x:v>
      </x:c>
      <x:c r="C34" s="21" t="str"/>
      <x:c r="D34" s="21" t="str"/>
      <x:c r="E34" s="21" t="str">
        <x:v>Meets minimum acceptable requirement</x:v>
      </x:c>
    </x:row>
    <x:row r="35">
      <x:c r="A35" s="21" t="n">
        <x:v>4</x:v>
      </x:c>
      <x:c r="B35" s="21" t="str">
        <x:v>Good</x:v>
      </x:c>
      <x:c r="C35" s="21" t="str"/>
      <x:c r="D35" s="21" t="str"/>
      <x:c r="E35" s="21" t="str">
        <x:v>Strong performance with manageable issues</x:v>
      </x:c>
    </x:row>
    <x:row r="36">
      <x:c r="A36" s="21" t="n">
        <x:v>5</x:v>
      </x:c>
      <x:c r="B36" s="21" t="str">
        <x:v>Excellent</x:v>
      </x:c>
      <x:c r="C36" s="21" t="str"/>
      <x:c r="D36" s="21" t="str"/>
      <x:c r="E36" s="21" t="str">
        <x:v>Best-in-class / highly favourable outcome</x:v>
      </x:c>
    </x:row>
  </x:sheetData>
  <x:mergeCells>
    <x:mergeCell ref="A1:L1"/>
    <x:mergeCell ref="A2:L2"/>
    <x:mergeCell ref="C4:H4"/>
    <x:mergeCell ref="C5:H5"/>
    <x:mergeCell ref="C6:H6"/>
    <x:mergeCell ref="E29:F29"/>
  </x:mergeCells>
  <x:conditionalFormatting sqref="G12:G27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E12:E27">
    <x:cfRule type="dataBar" priority="2">
      <x:dataBar>
        <x:cfvo type="min"/>
        <x:cfvo type="max"/>
        <x:color rgb="F59E0B"/>
      </x:dataBar>
    </x:cfRule>
  </x:conditionalFormatting>
  <x:dataValidations count="2">
    <x:dataValidation type="list" sqref="E12:E27">
      <x:formula1>"1,2,3,4,5"</x:formula1>
    </x:dataValidation>
    <x:dataValidation type="list" sqref="L12:L19">
      <x:formula1>"-3,-2,-1,0,1,2,3"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0" hidden="0" customWidth="1"/>
    <x:col min="3" max="3" width="10" hidden="0" customWidth="1"/>
    <x:col min="4" max="4" width="15" hidden="0" customWidth="1"/>
    <x:col min="5" max="5" width="12" hidden="0" customWidth="1"/>
    <x:col min="6" max="6" width="13" hidden="0" customWidth="1"/>
    <x:col min="7" max="7" width="13" hidden="0" customWidth="1"/>
    <x:col min="8" max="8" width="32" hidden="0" customWidth="1"/>
    <x:col min="10" max="10" width="15" hidden="0" customWidth="1"/>
    <x:col min="11" max="11" width="48" hidden="0" customWidth="1"/>
    <x:col min="12" max="12" width="12" hidden="0" customWidth="1"/>
  </x:cols>
  <x:sheetData>
    <x:row r="1" ht="24" customHeight="1">
      <x:c r="A1" s="4" t="str">
        <x:v>Option assessment template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9" t="str">
        <x:v>Enter raw scores in column E and SWOT ratings in column L. The model normalizes lower-better criteria automatically.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4">
      <x:c r="B4" s="18" t="str">
        <x:v>Option Name</x:v>
      </x:c>
      <x:c r="C4" t="str">
        <x:v>Hybrid split/continuous concept</x:v>
      </x:c>
    </x:row>
    <x:row r="5">
      <x:c r="B5" s="18" t="str">
        <x:v>Description</x:v>
      </x:c>
      <x:c r="C5" t="str">
        <x:v>Hybrid concept such as FRP deck panels on supporting beams or a partial split solution</x:v>
      </x:c>
    </x:row>
    <x:row r="6">
      <x:c r="B6" s="18" t="str">
        <x:v>Key Assumption</x:v>
      </x:c>
      <x:c r="C6" t="str">
        <x:v>A hybrid arrangement is acceptable if it materially improves delivery and installation</x:v>
      </x:c>
    </x:row>
    <x:row r="7">
      <x:c r="B7" s="18" t="str">
        <x:v>Overall Weighted Score</x:v>
      </x:c>
      <x:c r="C7" s="27" t="str">
        <x:f>IF(COUNT(E12:E27)=0,"",SUM(G12:G27))</x:f>
      </x:c>
      <x:c r="D7" t="str">
        <x:v>Format</x:v>
      </x:c>
      <x:c r="E7" t="str">
        <x:v>0.000</x:v>
      </x:c>
    </x:row>
    <x:row r="8">
      <x:c r="B8" s="18" t="str">
        <x:v>SWOT Net Score</x:v>
      </x:c>
      <x:c r="C8" s="27" t="str">
        <x:f>IF(COUNT(L12:L19)=0,"",SUM(L12:L19))</x:f>
      </x:c>
      <x:c r="D8" t="str">
        <x:v>Format</x:v>
      </x:c>
      <x:c r="E8" t="str">
        <x:v>whole number</x:v>
      </x:c>
    </x:row>
    <x:row r="9">
      <x:c r="B9" s="18" t="str">
        <x:v>Combined Score</x:v>
      </x:c>
      <x:c r="C9" s="27" t="str">
        <x:f>IF(AND(C7="",C8=""),"",IF(C7="",0,C7)*100+IF(C8="",0,C8))</x:f>
      </x:c>
      <x:c r="D9" t="str">
        <x:v>Format</x:v>
      </x:c>
      <x:c r="E9" t="str">
        <x:v>decision-ready score</x:v>
      </x:c>
    </x:row>
    <x:row r="11" ht="28" customHeight="1">
      <x:c r="A11" s="14" t="str">
        <x:v>Category</x:v>
      </x:c>
      <x:c r="B11" s="14" t="str">
        <x:v>Criterion</x:v>
      </x:c>
      <x:c r="C11" s="14" t="str">
        <x:v>Weight</x:v>
      </x:c>
      <x:c r="D11" s="14" t="str">
        <x:v>Direction</x:v>
      </x:c>
      <x:c r="E11" s="14" t="str">
        <x:v>Raw Score (1-5)</x:v>
      </x:c>
      <x:c r="F11" s="14" t="str">
        <x:v>Normalized Score</x:v>
      </x:c>
      <x:c r="G11" s="14" t="str">
        <x:v>Weighted Score</x:v>
      </x:c>
      <x:c r="H11" s="14" t="str">
        <x:v>Comment</x:v>
      </x:c>
      <x:c r="J11" s="14" t="str">
        <x:v>SWOT Area</x:v>
      </x:c>
      <x:c r="K11" s="14" t="str">
        <x:v>Entry</x:v>
      </x:c>
      <x:c r="L11" s="14" t="str">
        <x:v>Rating (-3 to +3)</x:v>
      </x:c>
    </x:row>
    <x:row r="12" ht="24" customHeight="1">
      <x:c r="A12" s="22" t="str">
        <x:f>CRITERIA!A5</x:f>
        <x:v>Strength</x:v>
      </x:c>
      <x:c r="B12" s="22" t="str">
        <x:f>CRITERIA!B5</x:f>
        <x:v>Structural capacity</x:v>
      </x:c>
      <x:c r="C12" s="22" t="n">
        <x:f>CRITERIA!C5</x:f>
        <x:v>0.1</x:v>
      </x:c>
      <x:c r="D12" s="22" t="str">
        <x:f>CRITERIA!D5</x:f>
        <x:v>Higher better</x:v>
      </x:c>
      <x:c r="E12" s="28"/>
      <x:c r="F12" s="22" t="str">
        <x:f>IF(E12="","",IF(D12="Higher better",E12/5,(6-E12)/5))</x:f>
      </x:c>
      <x:c r="G12" s="22" t="str">
        <x:f>IF(F12="","",C12*F12)</x:f>
      </x:c>
      <x:c r="H12" s="22"/>
      <x:c r="J12" s="22" t="str">
        <x:v>Strengths</x:v>
      </x:c>
      <x:c r="K12" s="22" t="str">
        <x:v>Can balance transportability with structural continuity</x:v>
      </x:c>
      <x:c r="L12" s="29"/>
    </x:row>
    <x:row r="13" ht="24" customHeight="1">
      <x:c r="A13" s="22" t="str">
        <x:f>CRITERIA!A6</x:f>
        <x:v>Strength</x:v>
      </x:c>
      <x:c r="B13" s="22" t="str">
        <x:f>CRITERIA!B6</x:f>
        <x:v>Stiffness / deflection</x:v>
      </x:c>
      <x:c r="C13" s="22" t="n">
        <x:f>CRITERIA!C6</x:f>
        <x:v>0.08</x:v>
      </x:c>
      <x:c r="D13" s="22" t="str">
        <x:f>CRITERIA!D6</x:f>
        <x:v>Higher better</x:v>
      </x:c>
      <x:c r="E13" s="28"/>
      <x:c r="F13" s="22" t="str">
        <x:f>IF(E13="","",IF(D13="Higher better",E13/5,(6-E13)/5))</x:f>
      </x:c>
      <x:c r="G13" s="22" t="str">
        <x:f>IF(F13="","",C13*F13)</x:f>
      </x:c>
      <x:c r="H13" s="22"/>
      <x:c r="J13" s="22" t="str">
        <x:v>Strengths</x:v>
      </x:c>
      <x:c r="K13" s="22" t="str">
        <x:v>May optimise fabrication and lifting strategy</x:v>
      </x:c>
      <x:c r="L13" s="29"/>
    </x:row>
    <x:row r="14" ht="24" customHeight="1">
      <x:c r="A14" s="22" t="str">
        <x:f>CRITERIA!A7</x:f>
        <x:v>Strength</x:v>
      </x:c>
      <x:c r="B14" s="22" t="str">
        <x:f>CRITERIA!B7</x:f>
        <x:v>Dynamic / vibration performance</x:v>
      </x:c>
      <x:c r="C14" s="22" t="n">
        <x:f>CRITERIA!C7</x:f>
        <x:v>0.05</x:v>
      </x:c>
      <x:c r="D14" s="22" t="str">
        <x:f>CRITERIA!D7</x:f>
        <x:v>Higher better</x:v>
      </x:c>
      <x:c r="E14" s="28"/>
      <x:c r="F14" s="22" t="str">
        <x:f>IF(E14="","",IF(D14="Higher better",E14/5,(6-E14)/5))</x:f>
      </x:c>
      <x:c r="G14" s="22" t="str">
        <x:f>IF(F14="","",C14*F14)</x:f>
      </x:c>
      <x:c r="H14" s="22"/>
      <x:c r="J14" s="22" t="str">
        <x:v>Weaknesses</x:v>
      </x:c>
      <x:c r="K14" s="22" t="str">
        <x:v>More interfaces and mixed-material detailing may add complexity</x:v>
      </x:c>
      <x:c r="L14" s="29"/>
    </x:row>
    <x:row r="15" ht="24" customHeight="1">
      <x:c r="A15" s="22" t="str">
        <x:f>CRITERIA!A8</x:f>
        <x:v>Geometry</x:v>
      </x:c>
      <x:c r="B15" s="22" t="str">
        <x:f>CRITERIA!B8</x:f>
        <x:v>Suitability for 3.5 m walkway/cycle width</x:v>
      </x:c>
      <x:c r="C15" s="22" t="n">
        <x:f>CRITERIA!C8</x:f>
        <x:v>0.05</x:v>
      </x:c>
      <x:c r="D15" s="22" t="str">
        <x:f>CRITERIA!D8</x:f>
        <x:v>Higher better</x:v>
      </x:c>
      <x:c r="E15" s="28"/>
      <x:c r="F15" s="22" t="str">
        <x:f>IF(E15="","",IF(D15="Higher better",E15/5,(6-E15)/5))</x:f>
      </x:c>
      <x:c r="G15" s="22" t="str">
        <x:f>IF(F15="","",C15*F15)</x:f>
      </x:c>
      <x:c r="H15" s="22"/>
      <x:c r="J15" s="22" t="str">
        <x:v>Weaknesses</x:v>
      </x:c>
      <x:c r="K15" s="22" t="str">
        <x:v>Potential trade-off against full FRP corrosion/lifecycle benefits</x:v>
      </x:c>
      <x:c r="L15" s="29"/>
    </x:row>
    <x:row r="16" ht="24" customHeight="1">
      <x:c r="A16" s="22" t="str">
        <x:f>CRITERIA!A9</x:f>
        <x:v>Transport</x:v>
      </x:c>
      <x:c r="B16" s="22" t="str">
        <x:f>CRITERIA!B9</x:f>
        <x:v>Ease of transport</x:v>
      </x:c>
      <x:c r="C16" s="22" t="n">
        <x:f>CRITERIA!C9</x:f>
        <x:v>0.11</x:v>
      </x:c>
      <x:c r="D16" s="22" t="str">
        <x:f>CRITERIA!D9</x:f>
        <x:v>Higher better</x:v>
      </x:c>
      <x:c r="E16" s="28"/>
      <x:c r="F16" s="22" t="str">
        <x:f>IF(E16="","",IF(D16="Higher better",E16/5,(6-E16)/5))</x:f>
      </x:c>
      <x:c r="G16" s="22" t="str">
        <x:f>IF(F16="","",C16*F16)</x:f>
      </x:c>
      <x:c r="H16" s="22"/>
      <x:c r="J16" s="22" t="str">
        <x:v>Opportunities</x:v>
      </x:c>
      <x:c r="K16" s="22" t="str">
        <x:v>Can be tuned to project-specific route, crane and erection constraints</x:v>
      </x:c>
      <x:c r="L16" s="29"/>
    </x:row>
    <x:row r="17" ht="24" customHeight="1">
      <x:c r="A17" s="22" t="str">
        <x:f>CRITERIA!A10</x:f>
        <x:v>Transport</x:v>
      </x:c>
      <x:c r="B17" s="22" t="str">
        <x:f>CRITERIA!B10</x:f>
        <x:v>Need to split for transport</x:v>
      </x:c>
      <x:c r="C17" s="22" t="n">
        <x:f>CRITERIA!C10</x:f>
        <x:v>0.06</x:v>
      </x:c>
      <x:c r="D17" s="22" t="str">
        <x:f>CRITERIA!D10</x:f>
        <x:v>Lower better</x:v>
      </x:c>
      <x:c r="E17" s="28"/>
      <x:c r="F17" s="22" t="str">
        <x:f>IF(E17="","",IF(D17="Higher better",E17/5,(6-E17)/5))</x:f>
      </x:c>
      <x:c r="G17" s="22" t="str">
        <x:f>IF(F17="","",C17*F17)</x:f>
      </x:c>
      <x:c r="H17" s="22"/>
      <x:c r="J17" s="22" t="str">
        <x:v>Opportunities</x:v>
      </x:c>
      <x:c r="K17" s="22" t="str">
        <x:v>Potential to de-risk one key issue without fully modularising the bridge</x:v>
      </x:c>
      <x:c r="L17" s="29"/>
    </x:row>
    <x:row r="18" ht="24" customHeight="1">
      <x:c r="A18" s="22" t="str">
        <x:f>CRITERIA!A11</x:f>
        <x:v>Installation</x:v>
      </x:c>
      <x:c r="B18" s="22" t="str">
        <x:f>CRITERIA!B11</x:f>
        <x:v>Ease of installation</x:v>
      </x:c>
      <x:c r="C18" s="22" t="n">
        <x:f>CRITERIA!C11</x:f>
        <x:v>0.1</x:v>
      </x:c>
      <x:c r="D18" s="22" t="str">
        <x:f>CRITERIA!D11</x:f>
        <x:v>Higher better</x:v>
      </x:c>
      <x:c r="E18" s="28"/>
      <x:c r="F18" s="22" t="str">
        <x:f>IF(E18="","",IF(D18="Higher better",E18/5,(6-E18)/5))</x:f>
      </x:c>
      <x:c r="G18" s="22" t="str">
        <x:f>IF(F18="","",C18*F18)</x:f>
      </x:c>
      <x:c r="H18" s="22"/>
      <x:c r="J18" s="22" t="str">
        <x:v>Threats</x:v>
      </x:c>
      <x:c r="K18" s="22" t="str">
        <x:v>Interface detailing or differential behaviour could drive redesign</x:v>
      </x:c>
      <x:c r="L18" s="29"/>
    </x:row>
    <x:row r="19" ht="24" customHeight="1">
      <x:c r="A19" s="22" t="str">
        <x:f>CRITERIA!A12</x:f>
        <x:v>Installation</x:v>
      </x:c>
      <x:c r="B19" s="22" t="str">
        <x:f>CRITERIA!B12</x:f>
        <x:v>Crane / lifting demand</x:v>
      </x:c>
      <x:c r="C19" s="22" t="n">
        <x:f>CRITERIA!C12</x:f>
        <x:v>0.07</x:v>
      </x:c>
      <x:c r="D19" s="22" t="str">
        <x:f>CRITERIA!D12</x:f>
        <x:v>Lower better</x:v>
      </x:c>
      <x:c r="E19" s="28"/>
      <x:c r="F19" s="22" t="str">
        <x:f>IF(E19="","",IF(D19="Higher better",E19/5,(6-E19)/5))</x:f>
      </x:c>
      <x:c r="G19" s="22" t="str">
        <x:f>IF(F19="","",C19*F19)</x:f>
      </x:c>
      <x:c r="H19" s="22"/>
      <x:c r="J19" s="22" t="str">
        <x:v>Threats</x:v>
      </x:c>
      <x:c r="K19" s="22" t="str">
        <x:v>Commercial pricing may be less certain for non-standard hybrid details</x:v>
      </x:c>
      <x:c r="L19" s="29"/>
    </x:row>
    <x:row r="20">
      <x:c r="A20" s="22" t="str">
        <x:f>CRITERIA!A13</x:f>
        <x:v>Installation</x:v>
      </x:c>
      <x:c r="B20" s="22" t="str">
        <x:f>CRITERIA!B13</x:f>
        <x:v>Risk of site joints / splices</x:v>
      </x:c>
      <x:c r="C20" s="22" t="n">
        <x:f>CRITERIA!C13</x:f>
        <x:v>0.06</x:v>
      </x:c>
      <x:c r="D20" s="22" t="str">
        <x:f>CRITERIA!D13</x:f>
        <x:v>Lower better</x:v>
      </x:c>
      <x:c r="E20" s="28"/>
      <x:c r="F20" s="22" t="str">
        <x:f>IF(E20="","",IF(D20="Higher better",E20/5,(6-E20)/5))</x:f>
      </x:c>
      <x:c r="G20" s="22" t="str">
        <x:f>IF(F20="","",C20*F20)</x:f>
      </x:c>
      <x:c r="H20" s="22"/>
    </x:row>
    <x:row r="21" ht="28" customHeight="1">
      <x:c r="A21" s="22" t="str">
        <x:f>CRITERIA!A14</x:f>
        <x:v>Durability</x:v>
      </x:c>
      <x:c r="B21" s="22" t="str">
        <x:f>CRITERIA!B14</x:f>
        <x:v>Durability / corrosion resistance</x:v>
      </x:c>
      <x:c r="C21" s="22" t="n">
        <x:f>CRITERIA!C14</x:f>
        <x:v>0.07</x:v>
      </x:c>
      <x:c r="D21" s="22" t="str">
        <x:f>CRITERIA!D14</x:f>
        <x:v>Higher better</x:v>
      </x:c>
      <x:c r="E21" s="28"/>
      <x:c r="F21" s="22" t="str">
        <x:f>IF(E21="","",IF(D21="Higher better",E21/5,(6-E21)/5))</x:f>
      </x:c>
      <x:c r="G21" s="22" t="str">
        <x:f>IF(F21="","",C21*F21)</x:f>
      </x:c>
      <x:c r="H21" s="22"/>
      <x:c r="J21" s="14" t="str">
        <x:v>SWOT notes</x:v>
      </x:c>
      <x:c r="K21" s="14" t="str"/>
      <x:c r="L21" s="14" t="str"/>
    </x:row>
    <x:row r="22">
      <x:c r="A22" s="22" t="str">
        <x:f>CRITERIA!A15</x:f>
        <x:v>Maintenance</x:v>
      </x:c>
      <x:c r="B22" s="22" t="str">
        <x:f>CRITERIA!B15</x:f>
        <x:v>Inspection and maintenance access</x:v>
      </x:c>
      <x:c r="C22" s="22" t="n">
        <x:f>CRITERIA!C15</x:f>
        <x:v>0.05</x:v>
      </x:c>
      <x:c r="D22" s="22" t="str">
        <x:f>CRITERIA!D15</x:f>
        <x:v>Higher better</x:v>
      </x:c>
      <x:c r="E22" s="28"/>
      <x:c r="F22" s="22" t="str">
        <x:f>IF(E22="","",IF(D22="Higher better",E22/5,(6-E22)/5))</x:f>
      </x:c>
      <x:c r="G22" s="22" t="str">
        <x:f>IF(F22="","",C22*F22)</x:f>
      </x:c>
      <x:c r="H22" s="22"/>
      <x:c r="J22" s="21" t="str">
        <x:v>Positive values for strengths and opportunities.</x:v>
      </x:c>
      <x:c r="K22" s="21" t="str"/>
      <x:c r="L22" s="21" t="str"/>
    </x:row>
    <x:row r="23">
      <x:c r="A23" s="22" t="str">
        <x:f>CRITERIA!A16</x:f>
        <x:v>Cost</x:v>
      </x:c>
      <x:c r="B23" s="22" t="str">
        <x:f>CRITERIA!B16</x:f>
        <x:v>Fabrication cost</x:v>
      </x:c>
      <x:c r="C23" s="22" t="n">
        <x:f>CRITERIA!C16</x:f>
        <x:v>0.06</x:v>
      </x:c>
      <x:c r="D23" s="22" t="str">
        <x:f>CRITERIA!D16</x:f>
        <x:v>Lower better</x:v>
      </x:c>
      <x:c r="E23" s="28"/>
      <x:c r="F23" s="22" t="str">
        <x:f>IF(E23="","",IF(D23="Higher better",E23/5,(6-E23)/5))</x:f>
      </x:c>
      <x:c r="G23" s="22" t="str">
        <x:f>IF(F23="","",C23*F23)</x:f>
      </x:c>
      <x:c r="H23" s="22"/>
      <x:c r="J23" s="21" t="str">
        <x:v>Negative values for weaknesses and threats.</x:v>
      </x:c>
      <x:c r="K23" s="21" t="str"/>
      <x:c r="L23" s="21" t="str"/>
    </x:row>
    <x:row r="24">
      <x:c r="A24" s="22" t="str">
        <x:f>CRITERIA!A17</x:f>
        <x:v>Cost</x:v>
      </x:c>
      <x:c r="B24" s="22" t="str">
        <x:f>CRITERIA!B17</x:f>
        <x:v>Transport cost</x:v>
      </x:c>
      <x:c r="C24" s="22" t="n">
        <x:f>CRITERIA!C17</x:f>
        <x:v>0.04</x:v>
      </x:c>
      <x:c r="D24" s="22" t="str">
        <x:f>CRITERIA!D17</x:f>
        <x:v>Lower better</x:v>
      </x:c>
      <x:c r="E24" s="28"/>
      <x:c r="F24" s="22" t="str">
        <x:f>IF(E24="","",IF(D24="Higher better",E24/5,(6-E24)/5))</x:f>
      </x:c>
      <x:c r="G24" s="22" t="str">
        <x:f>IF(F24="","",C24*F24)</x:f>
      </x:c>
      <x:c r="H24" s="22"/>
      <x:c r="J24" s="21" t="str">
        <x:v>Use column H to capture engineering judgement or assumptions.</x:v>
      </x:c>
      <x:c r="K24" s="21" t="str"/>
      <x:c r="L24" s="21" t="str"/>
    </x:row>
    <x:row r="25">
      <x:c r="A25" s="22" t="str">
        <x:f>CRITERIA!A18</x:f>
        <x:v>Cost</x:v>
      </x:c>
      <x:c r="B25" s="22" t="str">
        <x:f>CRITERIA!B18</x:f>
        <x:v>Installation cost</x:v>
      </x:c>
      <x:c r="C25" s="22" t="n">
        <x:f>CRITERIA!C18</x:f>
        <x:v>0.04</x:v>
      </x:c>
      <x:c r="D25" s="22" t="str">
        <x:f>CRITERIA!D18</x:f>
        <x:v>Lower better</x:v>
      </x:c>
      <x:c r="E25" s="28"/>
      <x:c r="F25" s="22" t="str">
        <x:f>IF(E25="","",IF(D25="Higher better",E25/5,(6-E25)/5))</x:f>
      </x:c>
      <x:c r="G25" s="22" t="str">
        <x:f>IF(F25="","",C25*F25)</x:f>
      </x:c>
      <x:c r="H25" s="22"/>
      <x:c r="J25" s="21" t="str">
        <x:v>Duplicate this sheet for extra options if needed.</x:v>
      </x:c>
      <x:c r="K25" s="21" t="str"/>
      <x:c r="L25" s="21" t="str"/>
    </x:row>
    <x:row r="26">
      <x:c r="A26" s="22" t="str">
        <x:f>CRITERIA!A19</x:f>
        <x:v>Risk</x:v>
      </x:c>
      <x:c r="B26" s="22" t="str">
        <x:f>CRITERIA!B19</x:f>
        <x:v>Programme / delivery risk</x:v>
      </x:c>
      <x:c r="C26" s="22" t="n">
        <x:f>CRITERIA!C19</x:f>
        <x:v>0.03</x:v>
      </x:c>
      <x:c r="D26" s="22" t="str">
        <x:f>CRITERIA!D19</x:f>
        <x:v>Lower better</x:v>
      </x:c>
      <x:c r="E26" s="28"/>
      <x:c r="F26" s="22" t="str">
        <x:f>IF(E26="","",IF(D26="Higher better",E26/5,(6-E26)/5))</x:f>
      </x:c>
      <x:c r="G26" s="22" t="str">
        <x:f>IF(F26="","",C26*F26)</x:f>
      </x:c>
      <x:c r="H26" s="22"/>
    </x:row>
    <x:row r="27">
      <x:c r="A27" s="22" t="str">
        <x:f>CRITERIA!A20</x:f>
        <x:v>Risk</x:v>
      </x:c>
      <x:c r="B27" s="22" t="str">
        <x:f>CRITERIA!B20</x:f>
        <x:v>Design complexity</x:v>
      </x:c>
      <x:c r="C27" s="22" t="n">
        <x:f>CRITERIA!C20</x:f>
        <x:v>0.03</x:v>
      </x:c>
      <x:c r="D27" s="22" t="str">
        <x:f>CRITERIA!D20</x:f>
        <x:v>Lower better</x:v>
      </x:c>
      <x:c r="E27" s="28"/>
      <x:c r="F27" s="22" t="str">
        <x:f>IF(E27="","",IF(D27="Higher better",E27/5,(6-E27)/5))</x:f>
      </x:c>
      <x:c r="G27" s="22" t="str">
        <x:f>IF(F27="","",C27*F27)</x:f>
      </x:c>
      <x:c r="H27" s="22"/>
    </x:row>
    <x:row r="29">
      <x:c r="E29" s="18" t="str">
        <x:v>Total weighted score</x:v>
      </x:c>
      <x:c r="F29" s="18" t="str">
        <x:v>Total weighted score</x:v>
      </x:c>
      <x:c r="G29" s="19" t="str">
        <x:f>IF(COUNT(E12:E27)=0,"",SUM(G12:G27))</x:f>
      </x:c>
    </x:row>
    <x:row r="31" ht="28" customHeight="1">
      <x:c r="A31" s="14" t="str">
        <x:v>Score guide</x:v>
      </x:c>
      <x:c r="B31" s="14" t="str"/>
      <x:c r="C31" s="14" t="str"/>
      <x:c r="D31" s="14" t="str"/>
      <x:c r="E31" s="14" t="str"/>
    </x:row>
    <x:row r="32">
      <x:c r="A32" s="21" t="n">
        <x:v>1</x:v>
      </x:c>
      <x:c r="B32" s="21" t="str">
        <x:v>Very poor</x:v>
      </x:c>
      <x:c r="C32" s="21" t="str"/>
      <x:c r="D32" s="21" t="str"/>
      <x:c r="E32" s="21" t="str">
        <x:v>Use for severe drawback / likely showstopper</x:v>
      </x:c>
    </x:row>
    <x:row r="33">
      <x:c r="A33" s="21" t="n">
        <x:v>2</x:v>
      </x:c>
      <x:c r="B33" s="21" t="str">
        <x:v>Poor</x:v>
      </x:c>
      <x:c r="C33" s="21" t="str"/>
      <x:c r="D33" s="21" t="str"/>
      <x:c r="E33" s="21" t="str">
        <x:v>Below preferred standard with notable issue</x:v>
      </x:c>
    </x:row>
    <x:row r="34">
      <x:c r="A34" s="21" t="n">
        <x:v>3</x:v>
      </x:c>
      <x:c r="B34" s="21" t="str">
        <x:v>Acceptable</x:v>
      </x:c>
      <x:c r="C34" s="21" t="str"/>
      <x:c r="D34" s="21" t="str"/>
      <x:c r="E34" s="21" t="str">
        <x:v>Meets minimum acceptable requirement</x:v>
      </x:c>
    </x:row>
    <x:row r="35">
      <x:c r="A35" s="21" t="n">
        <x:v>4</x:v>
      </x:c>
      <x:c r="B35" s="21" t="str">
        <x:v>Good</x:v>
      </x:c>
      <x:c r="C35" s="21" t="str"/>
      <x:c r="D35" s="21" t="str"/>
      <x:c r="E35" s="21" t="str">
        <x:v>Strong performance with manageable issues</x:v>
      </x:c>
    </x:row>
    <x:row r="36">
      <x:c r="A36" s="21" t="n">
        <x:v>5</x:v>
      </x:c>
      <x:c r="B36" s="21" t="str">
        <x:v>Excellent</x:v>
      </x:c>
      <x:c r="C36" s="21" t="str"/>
      <x:c r="D36" s="21" t="str"/>
      <x:c r="E36" s="21" t="str">
        <x:v>Best-in-class / highly favourable outcome</x:v>
      </x:c>
    </x:row>
  </x:sheetData>
  <x:mergeCells>
    <x:mergeCell ref="A1:L1"/>
    <x:mergeCell ref="A2:L2"/>
    <x:mergeCell ref="C4:H4"/>
    <x:mergeCell ref="C5:H5"/>
    <x:mergeCell ref="C6:H6"/>
    <x:mergeCell ref="E29:F29"/>
  </x:mergeCells>
  <x:conditionalFormatting sqref="G12:G27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E12:E27">
    <x:cfRule type="dataBar" priority="2">
      <x:dataBar>
        <x:cfvo type="min"/>
        <x:cfvo type="max"/>
        <x:color rgb="F59E0B"/>
      </x:dataBar>
    </x:cfRule>
  </x:conditionalFormatting>
  <x:dataValidations count="2">
    <x:dataValidation type="list" sqref="E12:E27">
      <x:formula1>"1,2,3,4,5"</x:formula1>
    </x:dataValidation>
    <x:dataValidation type="list" sqref="L12:L19">
      <x:formula1>"-3,-2,-1,0,1,2,3"</x:formula1>
    </x:dataValidation>
  </x:dataValidations>
  <x:pageMargins left="0.7" right="0.7" top="0.75" bottom="0.75" header="0.3" footer="0.3"/>
</x:worksheet>
</file>